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OneDrive\Desktop\"/>
    </mc:Choice>
  </mc:AlternateContent>
  <xr:revisionPtr revIDLastSave="0" documentId="13_ncr:1_{95D745C0-5C0B-480B-A1F6-9C133C318DAE}" xr6:coauthVersionLast="47" xr6:coauthVersionMax="47" xr10:uidLastSave="{00000000-0000-0000-0000-000000000000}"/>
  <bookViews>
    <workbookView xWindow="-120" yWindow="-120" windowWidth="29040" windowHeight="15720" firstSheet="1" activeTab="3" xr2:uid="{00000000-000D-0000-FFFF-FFFF00000000}"/>
  </bookViews>
  <sheets>
    <sheet name="pivot tables" sheetId="4" state="hidden" r:id="rId1"/>
    <sheet name="Netflix_Data" sheetId="1" r:id="rId2"/>
    <sheet name="calculations" sheetId="2" state="hidden" r:id="rId3"/>
    <sheet name="Dashboard" sheetId="3" r:id="rId4"/>
  </sheets>
  <definedNames>
    <definedName name="Slicer_Genre">#N/A</definedName>
    <definedName name="Slicer_Language">#N/A</definedName>
    <definedName name="Slicer_Month_Watched">#N/A</definedName>
    <definedName name="Slicer_Status">#N/A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 i="2" l="1"/>
  <c r="B7" i="2"/>
  <c r="B6" i="2"/>
  <c r="B5" i="2"/>
  <c r="B4" i="2"/>
  <c r="B3" i="2"/>
  <c r="B2" i="2"/>
  <c r="B1" i="2"/>
</calcChain>
</file>

<file path=xl/sharedStrings.xml><?xml version="1.0" encoding="utf-8"?>
<sst xmlns="http://schemas.openxmlformats.org/spreadsheetml/2006/main" count="1482" uniqueCount="306">
  <si>
    <t>Series ID</t>
  </si>
  <si>
    <t>Series Name</t>
  </si>
  <si>
    <t>Genre</t>
  </si>
  <si>
    <t>Language</t>
  </si>
  <si>
    <t>Release Year</t>
  </si>
  <si>
    <t>Seasons</t>
  </si>
  <si>
    <t>Status</t>
  </si>
  <si>
    <t>Rating</t>
  </si>
  <si>
    <t>Watch Hours</t>
  </si>
  <si>
    <t>Month Watched</t>
  </si>
  <si>
    <t>Country</t>
  </si>
  <si>
    <t>N001</t>
  </si>
  <si>
    <t>Money Heist</t>
  </si>
  <si>
    <t>Mystery</t>
  </si>
  <si>
    <t>French</t>
  </si>
  <si>
    <t>Watching</t>
  </si>
  <si>
    <t>June</t>
  </si>
  <si>
    <t>India</t>
  </si>
  <si>
    <t>N002</t>
  </si>
  <si>
    <t>Peaky Blinders</t>
  </si>
  <si>
    <t>Action</t>
  </si>
  <si>
    <t>English</t>
  </si>
  <si>
    <t>December</t>
  </si>
  <si>
    <t>Germany</t>
  </si>
  <si>
    <t>N003</t>
  </si>
  <si>
    <t>Shadow and Bone</t>
  </si>
  <si>
    <t>Drama</t>
  </si>
  <si>
    <t>Hindi</t>
  </si>
  <si>
    <t>Completed</t>
  </si>
  <si>
    <t>September</t>
  </si>
  <si>
    <t>USA</t>
  </si>
  <si>
    <t>N004</t>
  </si>
  <si>
    <t>The Sandman</t>
  </si>
  <si>
    <t>Fantasy</t>
  </si>
  <si>
    <t>October</t>
  </si>
  <si>
    <t>South Korea</t>
  </si>
  <si>
    <t>N005</t>
  </si>
  <si>
    <t>Emily in Paris</t>
  </si>
  <si>
    <t>N006</t>
  </si>
  <si>
    <t>Cobra Kai</t>
  </si>
  <si>
    <t>Romance</t>
  </si>
  <si>
    <t>August</t>
  </si>
  <si>
    <t>Spain</t>
  </si>
  <si>
    <t>N007</t>
  </si>
  <si>
    <t>Heartstopper</t>
  </si>
  <si>
    <t>Horror</t>
  </si>
  <si>
    <t>February</t>
  </si>
  <si>
    <t>N008</t>
  </si>
  <si>
    <t>Never Have I Ever</t>
  </si>
  <si>
    <t>Comedy</t>
  </si>
  <si>
    <t>N009</t>
  </si>
  <si>
    <t>The Queen's Gambit</t>
  </si>
  <si>
    <t>Korean</t>
  </si>
  <si>
    <t>N010</t>
  </si>
  <si>
    <t>Manifest</t>
  </si>
  <si>
    <t>January</t>
  </si>
  <si>
    <t>N011</t>
  </si>
  <si>
    <t>Squid Game</t>
  </si>
  <si>
    <t>Thriller</t>
  </si>
  <si>
    <t>April</t>
  </si>
  <si>
    <t>UK</t>
  </si>
  <si>
    <t>N012</t>
  </si>
  <si>
    <t>Bridgerton</t>
  </si>
  <si>
    <t>N013</t>
  </si>
  <si>
    <t>Outer Banks</t>
  </si>
  <si>
    <t>July</t>
  </si>
  <si>
    <t>N014</t>
  </si>
  <si>
    <t>Delhi Crime</t>
  </si>
  <si>
    <t>France</t>
  </si>
  <si>
    <t>N015</t>
  </si>
  <si>
    <t>One Piece</t>
  </si>
  <si>
    <t>Plan to Watch</t>
  </si>
  <si>
    <t>November</t>
  </si>
  <si>
    <t>N016</t>
  </si>
  <si>
    <t>Crime</t>
  </si>
  <si>
    <t>N017</t>
  </si>
  <si>
    <t>Spanish</t>
  </si>
  <si>
    <t>March</t>
  </si>
  <si>
    <t>N018</t>
  </si>
  <si>
    <t>N019</t>
  </si>
  <si>
    <t>N020</t>
  </si>
  <si>
    <t>The Lincoln Lawyer</t>
  </si>
  <si>
    <t>May</t>
  </si>
  <si>
    <t>N021</t>
  </si>
  <si>
    <t>You</t>
  </si>
  <si>
    <t>N022</t>
  </si>
  <si>
    <t>The Glory</t>
  </si>
  <si>
    <t>N023</t>
  </si>
  <si>
    <t>Sweet Home</t>
  </si>
  <si>
    <t>N024</t>
  </si>
  <si>
    <t>N025</t>
  </si>
  <si>
    <t>1899</t>
  </si>
  <si>
    <t>N026</t>
  </si>
  <si>
    <t>Baby Reindeer</t>
  </si>
  <si>
    <t>N027</t>
  </si>
  <si>
    <t>N028</t>
  </si>
  <si>
    <t>The Diplomat</t>
  </si>
  <si>
    <t>N029</t>
  </si>
  <si>
    <t>Breaking Bad</t>
  </si>
  <si>
    <t>German</t>
  </si>
  <si>
    <t>N030</t>
  </si>
  <si>
    <t>N031</t>
  </si>
  <si>
    <t>N032</t>
  </si>
  <si>
    <t>N033</t>
  </si>
  <si>
    <t>The Witcher</t>
  </si>
  <si>
    <t>N034</t>
  </si>
  <si>
    <t>Sex Education</t>
  </si>
  <si>
    <t>N035</t>
  </si>
  <si>
    <t>Lucifer</t>
  </si>
  <si>
    <t>N036</t>
  </si>
  <si>
    <t>N037</t>
  </si>
  <si>
    <t>N038</t>
  </si>
  <si>
    <t>Lupin</t>
  </si>
  <si>
    <t>N039</t>
  </si>
  <si>
    <t>Ozark</t>
  </si>
  <si>
    <t>Sci-Fi</t>
  </si>
  <si>
    <t>N040</t>
  </si>
  <si>
    <t>N041</t>
  </si>
  <si>
    <t>N042</t>
  </si>
  <si>
    <t>N043</t>
  </si>
  <si>
    <t>N044</t>
  </si>
  <si>
    <t>Locke &amp; Key</t>
  </si>
  <si>
    <t>N045</t>
  </si>
  <si>
    <t>N046</t>
  </si>
  <si>
    <t>Sacred Games</t>
  </si>
  <si>
    <t>N047</t>
  </si>
  <si>
    <t>N048</t>
  </si>
  <si>
    <t>Elite</t>
  </si>
  <si>
    <t>N049</t>
  </si>
  <si>
    <t>N050</t>
  </si>
  <si>
    <t>Ginny &amp; Georgia</t>
  </si>
  <si>
    <t>N051</t>
  </si>
  <si>
    <t>N052</t>
  </si>
  <si>
    <t>Black Mirror</t>
  </si>
  <si>
    <t>N053</t>
  </si>
  <si>
    <t>N054</t>
  </si>
  <si>
    <t>N055</t>
  </si>
  <si>
    <t>N056</t>
  </si>
  <si>
    <t>N057</t>
  </si>
  <si>
    <t>N058</t>
  </si>
  <si>
    <t>N059</t>
  </si>
  <si>
    <t>N060</t>
  </si>
  <si>
    <t>N061</t>
  </si>
  <si>
    <t>N062</t>
  </si>
  <si>
    <t>N063</t>
  </si>
  <si>
    <t>N064</t>
  </si>
  <si>
    <t>N065</t>
  </si>
  <si>
    <t>Alice in Borderland</t>
  </si>
  <si>
    <t>N066</t>
  </si>
  <si>
    <t>Dark</t>
  </si>
  <si>
    <t>N067</t>
  </si>
  <si>
    <t>N068</t>
  </si>
  <si>
    <t>N069</t>
  </si>
  <si>
    <t>N070</t>
  </si>
  <si>
    <t>N071</t>
  </si>
  <si>
    <t>N072</t>
  </si>
  <si>
    <t>N073</t>
  </si>
  <si>
    <t>All of Us Are Dead</t>
  </si>
  <si>
    <t>N074</t>
  </si>
  <si>
    <t>N075</t>
  </si>
  <si>
    <t>N076</t>
  </si>
  <si>
    <t>Wednesday</t>
  </si>
  <si>
    <t>N077</t>
  </si>
  <si>
    <t>N078</t>
  </si>
  <si>
    <t>N079</t>
  </si>
  <si>
    <t>N080</t>
  </si>
  <si>
    <t>N081</t>
  </si>
  <si>
    <t>N082</t>
  </si>
  <si>
    <t>N083</t>
  </si>
  <si>
    <t>N084</t>
  </si>
  <si>
    <t>N085</t>
  </si>
  <si>
    <t>The Crown</t>
  </si>
  <si>
    <t>N086</t>
  </si>
  <si>
    <t>N087</t>
  </si>
  <si>
    <t>N088</t>
  </si>
  <si>
    <t>N089</t>
  </si>
  <si>
    <t>N090</t>
  </si>
  <si>
    <t>N091</t>
  </si>
  <si>
    <t>N092</t>
  </si>
  <si>
    <t>N093</t>
  </si>
  <si>
    <t>N094</t>
  </si>
  <si>
    <t>The Umbrella Academy</t>
  </si>
  <si>
    <t>N095</t>
  </si>
  <si>
    <t>N096</t>
  </si>
  <si>
    <t>N097</t>
  </si>
  <si>
    <t>N098</t>
  </si>
  <si>
    <t>N099</t>
  </si>
  <si>
    <t>N100</t>
  </si>
  <si>
    <t>N101</t>
  </si>
  <si>
    <t>N102</t>
  </si>
  <si>
    <t>N103</t>
  </si>
  <si>
    <t>N104</t>
  </si>
  <si>
    <t>N105</t>
  </si>
  <si>
    <t>N106</t>
  </si>
  <si>
    <t>N107</t>
  </si>
  <si>
    <t>N108</t>
  </si>
  <si>
    <t>N109</t>
  </si>
  <si>
    <t>N110</t>
  </si>
  <si>
    <t>N111</t>
  </si>
  <si>
    <t>N112</t>
  </si>
  <si>
    <t>N113</t>
  </si>
  <si>
    <t>N114</t>
  </si>
  <si>
    <t>N115</t>
  </si>
  <si>
    <t>N116</t>
  </si>
  <si>
    <t>N117</t>
  </si>
  <si>
    <t>N118</t>
  </si>
  <si>
    <t>N119</t>
  </si>
  <si>
    <t>N120</t>
  </si>
  <si>
    <t>N121</t>
  </si>
  <si>
    <t>N122</t>
  </si>
  <si>
    <t>N123</t>
  </si>
  <si>
    <t>N124</t>
  </si>
  <si>
    <t>N125</t>
  </si>
  <si>
    <t>N126</t>
  </si>
  <si>
    <t>N127</t>
  </si>
  <si>
    <t>N128</t>
  </si>
  <si>
    <t>N129</t>
  </si>
  <si>
    <t>N130</t>
  </si>
  <si>
    <t>N131</t>
  </si>
  <si>
    <t>N132</t>
  </si>
  <si>
    <t>N133</t>
  </si>
  <si>
    <t>N134</t>
  </si>
  <si>
    <t>N135</t>
  </si>
  <si>
    <t>N136</t>
  </si>
  <si>
    <t>N137</t>
  </si>
  <si>
    <t>N138</t>
  </si>
  <si>
    <t>Vikings Valhalla</t>
  </si>
  <si>
    <t>N139</t>
  </si>
  <si>
    <t>N140</t>
  </si>
  <si>
    <t>N141</t>
  </si>
  <si>
    <t>N142</t>
  </si>
  <si>
    <t>N143</t>
  </si>
  <si>
    <t>N144</t>
  </si>
  <si>
    <t>N145</t>
  </si>
  <si>
    <t>N146</t>
  </si>
  <si>
    <t>N147</t>
  </si>
  <si>
    <t>Better Call Saul</t>
  </si>
  <si>
    <t>N148</t>
  </si>
  <si>
    <t>N149</t>
  </si>
  <si>
    <t>N150</t>
  </si>
  <si>
    <t>N151</t>
  </si>
  <si>
    <t>N152</t>
  </si>
  <si>
    <t>N153</t>
  </si>
  <si>
    <t>N154</t>
  </si>
  <si>
    <t>N155</t>
  </si>
  <si>
    <t>N156</t>
  </si>
  <si>
    <t>N157</t>
  </si>
  <si>
    <t>N158</t>
  </si>
  <si>
    <t>N159</t>
  </si>
  <si>
    <t>N160</t>
  </si>
  <si>
    <t>N161</t>
  </si>
  <si>
    <t>N162</t>
  </si>
  <si>
    <t>N163</t>
  </si>
  <si>
    <t>N164</t>
  </si>
  <si>
    <t>N165</t>
  </si>
  <si>
    <t>N166</t>
  </si>
  <si>
    <t>N167</t>
  </si>
  <si>
    <t>N168</t>
  </si>
  <si>
    <t>N169</t>
  </si>
  <si>
    <t>N170</t>
  </si>
  <si>
    <t>N171</t>
  </si>
  <si>
    <t>N172</t>
  </si>
  <si>
    <t>Stranger Things</t>
  </si>
  <si>
    <t>N173</t>
  </si>
  <si>
    <t>N174</t>
  </si>
  <si>
    <t>N175</t>
  </si>
  <si>
    <t>N176</t>
  </si>
  <si>
    <t>N177</t>
  </si>
  <si>
    <t>N178</t>
  </si>
  <si>
    <t>N179</t>
  </si>
  <si>
    <t>N180</t>
  </si>
  <si>
    <t>N181</t>
  </si>
  <si>
    <t>N182</t>
  </si>
  <si>
    <t>N183</t>
  </si>
  <si>
    <t>N184</t>
  </si>
  <si>
    <t>N185</t>
  </si>
  <si>
    <t>N186</t>
  </si>
  <si>
    <t>N187</t>
  </si>
  <si>
    <t>N188</t>
  </si>
  <si>
    <t>N189</t>
  </si>
  <si>
    <t>N190</t>
  </si>
  <si>
    <t>N191</t>
  </si>
  <si>
    <t>N192</t>
  </si>
  <si>
    <t>N193</t>
  </si>
  <si>
    <t>N194</t>
  </si>
  <si>
    <t>N195</t>
  </si>
  <si>
    <t>N196</t>
  </si>
  <si>
    <t>N197</t>
  </si>
  <si>
    <t>N198</t>
  </si>
  <si>
    <t>N199</t>
  </si>
  <si>
    <t>N200</t>
  </si>
  <si>
    <t>total series</t>
  </si>
  <si>
    <t>avergae rating</t>
  </si>
  <si>
    <t>total watch hours</t>
  </si>
  <si>
    <t>highest rating</t>
  </si>
  <si>
    <t>lowest rating</t>
  </si>
  <si>
    <t>watching</t>
  </si>
  <si>
    <t>completed</t>
  </si>
  <si>
    <t>planning to watch</t>
  </si>
  <si>
    <t>Netflix Series Tracker Dashboard</t>
  </si>
  <si>
    <t>Row Labels</t>
  </si>
  <si>
    <t>Grand Total</t>
  </si>
  <si>
    <t>Count of Series ID</t>
  </si>
  <si>
    <t>Sum of Watch Hours</t>
  </si>
  <si>
    <t>Average of Rating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</si>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</sst>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theme="3" tint="-0.499984740745262"/>
      <name val="Times New Roman"/>
      <family val="1"/>
    </font>
    <font>
      <b/>
      <sz val="22"/>
      <color rgb="FFCC33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[Netflix_Series_Tracker_Dashboard.xlsx]pivot tables!PivotTable1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tx1"/>
                </a:solidFill>
                <a:latin typeface="Arial Black" panose="020B0A04020102020204" pitchFamily="34" charset="0"/>
              </a:rPr>
              <a:t>Series Distribution by Genre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pivotFmt>
      <c:pivotFmt>
        <c:idx val="13"/>
        <c:spPr>
          <a:solidFill>
            <a:schemeClr val="dk1">
              <a:tint val="88500"/>
            </a:schemeClr>
          </a:solidFill>
          <a:ln>
            <a:noFill/>
          </a:ln>
          <a:effectLst>
            <a:outerShdw blurRad="317500" algn="ctr" rotWithShape="0">
              <a:prstClr val="black">
                <a:alpha val="25000"/>
              </a:prstClr>
            </a:outerShdw>
          </a:effectLst>
        </c:spPr>
      </c:pivotFmt>
      <c:pivotFmt>
        <c:idx val="14"/>
        <c:spPr>
          <a:solidFill>
            <a:schemeClr val="dk1">
              <a:tint val="88500"/>
            </a:schemeClr>
          </a:solidFill>
          <a:ln>
            <a:noFill/>
          </a:ln>
          <a:effectLst>
            <a:outerShdw blurRad="317500" algn="ctr" rotWithShape="0">
              <a:prstClr val="black">
                <a:alpha val="25000"/>
              </a:prstClr>
            </a:outerShdw>
          </a:effectLst>
        </c:spPr>
      </c:pivotFmt>
      <c:pivotFmt>
        <c:idx val="15"/>
        <c:spPr>
          <a:solidFill>
            <a:schemeClr val="dk1">
              <a:tint val="88500"/>
            </a:schemeClr>
          </a:solidFill>
          <a:ln>
            <a:noFill/>
          </a:ln>
          <a:effectLst>
            <a:outerShdw blurRad="317500" algn="ctr" rotWithShape="0">
              <a:prstClr val="black">
                <a:alpha val="25000"/>
              </a:prstClr>
            </a:outerShdw>
          </a:effectLst>
        </c:spPr>
      </c:pivotFmt>
      <c:pivotFmt>
        <c:idx val="16"/>
        <c:spPr>
          <a:solidFill>
            <a:schemeClr val="dk1">
              <a:tint val="88500"/>
            </a:schemeClr>
          </a:solidFill>
          <a:ln>
            <a:noFill/>
          </a:ln>
          <a:effectLst>
            <a:outerShdw blurRad="317500" algn="ctr" rotWithShape="0">
              <a:prstClr val="black">
                <a:alpha val="25000"/>
              </a:prstClr>
            </a:outerShdw>
          </a:effectLst>
        </c:spPr>
      </c:pivotFmt>
      <c:pivotFmt>
        <c:idx val="17"/>
        <c:spPr>
          <a:solidFill>
            <a:schemeClr val="dk1">
              <a:tint val="88500"/>
            </a:schemeClr>
          </a:solidFill>
          <a:ln>
            <a:noFill/>
          </a:ln>
          <a:effectLst>
            <a:outerShdw blurRad="317500" algn="ctr" rotWithShape="0">
              <a:prstClr val="black">
                <a:alpha val="25000"/>
              </a:prstClr>
            </a:outerShdw>
          </a:effectLst>
        </c:spPr>
      </c:pivotFmt>
      <c:pivotFmt>
        <c:idx val="18"/>
        <c:spPr>
          <a:solidFill>
            <a:schemeClr val="dk1">
              <a:tint val="88500"/>
            </a:schemeClr>
          </a:solidFill>
          <a:ln>
            <a:noFill/>
          </a:ln>
          <a:effectLst>
            <a:outerShdw blurRad="317500" algn="ctr" rotWithShape="0">
              <a:prstClr val="black">
                <a:alpha val="25000"/>
              </a:prstClr>
            </a:outerShdw>
          </a:effectLst>
        </c:spPr>
      </c:pivotFmt>
      <c:pivotFmt>
        <c:idx val="19"/>
        <c:spPr>
          <a:solidFill>
            <a:schemeClr val="dk1">
              <a:tint val="88500"/>
            </a:schemeClr>
          </a:solidFill>
          <a:ln>
            <a:noFill/>
          </a:ln>
          <a:effectLst>
            <a:outerShdw blurRad="317500" algn="ctr" rotWithShape="0">
              <a:prstClr val="black">
                <a:alpha val="25000"/>
              </a:prstClr>
            </a:outerShdw>
          </a:effectLst>
        </c:spPr>
      </c:pivotFmt>
      <c:pivotFmt>
        <c:idx val="20"/>
        <c:spPr>
          <a:solidFill>
            <a:schemeClr val="dk1">
              <a:tint val="88500"/>
            </a:schemeClr>
          </a:solidFill>
          <a:ln>
            <a:noFill/>
          </a:ln>
          <a:effectLst>
            <a:outerShdw blurRad="317500" algn="ctr" rotWithShape="0">
              <a:prstClr val="black">
                <a:alpha val="25000"/>
              </a:prstClr>
            </a:outerShdw>
          </a:effectLst>
        </c:spPr>
      </c:pivotFmt>
      <c:pivotFmt>
        <c:idx val="21"/>
        <c:spPr>
          <a:solidFill>
            <a:schemeClr val="dk1">
              <a:tint val="88500"/>
            </a:schemeClr>
          </a:solidFill>
          <a:ln>
            <a:noFill/>
          </a:ln>
          <a:effectLst>
            <a:outerShdw blurRad="317500" algn="ctr" rotWithShape="0">
              <a:prstClr val="black">
                <a:alpha val="25000"/>
              </a:prstClr>
            </a:outerShdw>
          </a:effectLst>
        </c:spPr>
      </c:pivotFmt>
      <c:pivotFmt>
        <c:idx val="22"/>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dk1">
              <a:tint val="88500"/>
            </a:schemeClr>
          </a:solidFill>
          <a:ln>
            <a:noFill/>
          </a:ln>
          <a:effectLst>
            <a:outerShdw blurRad="317500" algn="ctr" rotWithShape="0">
              <a:prstClr val="black">
                <a:alpha val="25000"/>
              </a:prstClr>
            </a:outerShdw>
          </a:effectLst>
        </c:spPr>
      </c:pivotFmt>
      <c:pivotFmt>
        <c:idx val="24"/>
        <c:spPr>
          <a:solidFill>
            <a:schemeClr val="dk1">
              <a:tint val="88500"/>
            </a:schemeClr>
          </a:solidFill>
          <a:ln>
            <a:noFill/>
          </a:ln>
          <a:effectLst>
            <a:outerShdw blurRad="317500" algn="ctr" rotWithShape="0">
              <a:prstClr val="black">
                <a:alpha val="25000"/>
              </a:prstClr>
            </a:outerShdw>
          </a:effectLst>
        </c:spPr>
      </c:pivotFmt>
      <c:pivotFmt>
        <c:idx val="25"/>
        <c:spPr>
          <a:solidFill>
            <a:schemeClr val="dk1">
              <a:tint val="88500"/>
            </a:schemeClr>
          </a:solidFill>
          <a:ln>
            <a:noFill/>
          </a:ln>
          <a:effectLst>
            <a:outerShdw blurRad="317500" algn="ctr" rotWithShape="0">
              <a:prstClr val="black">
                <a:alpha val="25000"/>
              </a:prstClr>
            </a:outerShdw>
          </a:effectLst>
        </c:spPr>
      </c:pivotFmt>
      <c:pivotFmt>
        <c:idx val="26"/>
        <c:spPr>
          <a:solidFill>
            <a:schemeClr val="dk1">
              <a:tint val="88500"/>
            </a:schemeClr>
          </a:solidFill>
          <a:ln>
            <a:noFill/>
          </a:ln>
          <a:effectLst>
            <a:outerShdw blurRad="317500" algn="ctr" rotWithShape="0">
              <a:prstClr val="black">
                <a:alpha val="25000"/>
              </a:prstClr>
            </a:outerShdw>
          </a:effectLst>
        </c:spPr>
      </c:pivotFmt>
      <c:pivotFmt>
        <c:idx val="27"/>
        <c:spPr>
          <a:solidFill>
            <a:schemeClr val="dk1">
              <a:tint val="88500"/>
            </a:schemeClr>
          </a:solidFill>
          <a:ln>
            <a:noFill/>
          </a:ln>
          <a:effectLst>
            <a:outerShdw blurRad="317500" algn="ctr" rotWithShape="0">
              <a:prstClr val="black">
                <a:alpha val="25000"/>
              </a:prstClr>
            </a:outerShdw>
          </a:effectLst>
        </c:spPr>
      </c:pivotFmt>
      <c:pivotFmt>
        <c:idx val="28"/>
        <c:spPr>
          <a:solidFill>
            <a:schemeClr val="dk1">
              <a:tint val="88500"/>
            </a:schemeClr>
          </a:solidFill>
          <a:ln>
            <a:noFill/>
          </a:ln>
          <a:effectLst>
            <a:outerShdw blurRad="317500" algn="ctr" rotWithShape="0">
              <a:prstClr val="black">
                <a:alpha val="25000"/>
              </a:prstClr>
            </a:outerShdw>
          </a:effectLst>
        </c:spPr>
      </c:pivotFmt>
      <c:pivotFmt>
        <c:idx val="29"/>
        <c:spPr>
          <a:solidFill>
            <a:schemeClr val="dk1">
              <a:tint val="88500"/>
            </a:schemeClr>
          </a:solidFill>
          <a:ln>
            <a:noFill/>
          </a:ln>
          <a:effectLst>
            <a:outerShdw blurRad="317500" algn="ctr" rotWithShape="0">
              <a:prstClr val="black">
                <a:alpha val="25000"/>
              </a:prstClr>
            </a:outerShdw>
          </a:effectLst>
        </c:spPr>
      </c:pivotFmt>
      <c:pivotFmt>
        <c:idx val="30"/>
        <c:spPr>
          <a:solidFill>
            <a:schemeClr val="dk1">
              <a:tint val="88500"/>
            </a:schemeClr>
          </a:solidFill>
          <a:ln>
            <a:noFill/>
          </a:ln>
          <a:effectLst>
            <a:outerShdw blurRad="317500" algn="ctr" rotWithShape="0">
              <a:prstClr val="black">
                <a:alpha val="25000"/>
              </a:prstClr>
            </a:outerShdw>
          </a:effectLst>
        </c:spPr>
      </c:pivotFmt>
      <c:pivotFmt>
        <c:idx val="31"/>
        <c:spPr>
          <a:solidFill>
            <a:schemeClr val="dk1">
              <a:tint val="88500"/>
            </a:schemeClr>
          </a:solidFill>
          <a:ln>
            <a:noFill/>
          </a:ln>
          <a:effectLst>
            <a:outerShdw blurRad="317500" algn="ctr" rotWithShape="0">
              <a:prstClr val="black">
                <a:alpha val="25000"/>
              </a:prstClr>
            </a:outerShdw>
          </a:effectLst>
        </c:spPr>
      </c:pivotFmt>
      <c:pivotFmt>
        <c:idx val="32"/>
        <c:spPr>
          <a:solidFill>
            <a:schemeClr val="dk1">
              <a:tint val="885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7E5-4A62-A431-33A31E915356}"/>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7E5-4A62-A431-33A31E915356}"/>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7E5-4A62-A431-33A31E915356}"/>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7E5-4A62-A431-33A31E915356}"/>
              </c:ext>
            </c:extLst>
          </c:dPt>
          <c:dPt>
            <c:idx val="4"/>
            <c:bubble3D val="0"/>
            <c:spPr>
              <a:solidFill>
                <a:schemeClr val="dk1">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7E5-4A62-A431-33A31E915356}"/>
              </c:ext>
            </c:extLst>
          </c:dPt>
          <c:dPt>
            <c:idx val="5"/>
            <c:bubble3D val="0"/>
            <c:spPr>
              <a:solidFill>
                <a:schemeClr val="dk1">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7E5-4A62-A431-33A31E915356}"/>
              </c:ext>
            </c:extLst>
          </c:dPt>
          <c:dPt>
            <c:idx val="6"/>
            <c:bubble3D val="0"/>
            <c:spPr>
              <a:solidFill>
                <a:schemeClr val="dk1">
                  <a:tint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67E5-4A62-A431-33A31E915356}"/>
              </c:ext>
            </c:extLst>
          </c:dPt>
          <c:dPt>
            <c:idx val="7"/>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67E5-4A62-A431-33A31E915356}"/>
              </c:ext>
            </c:extLst>
          </c:dPt>
          <c:dPt>
            <c:idx val="8"/>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7E5-4A62-A431-33A31E915356}"/>
              </c:ext>
            </c:extLst>
          </c:dPt>
          <c:dPt>
            <c:idx val="9"/>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67E5-4A62-A431-33A31E9153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tables'!$A$4:$A$14</c:f>
              <c:strCache>
                <c:ptCount val="10"/>
                <c:pt idx="0">
                  <c:v>Action</c:v>
                </c:pt>
                <c:pt idx="1">
                  <c:v>Comedy</c:v>
                </c:pt>
                <c:pt idx="2">
                  <c:v>Crime</c:v>
                </c:pt>
                <c:pt idx="3">
                  <c:v>Drama</c:v>
                </c:pt>
                <c:pt idx="4">
                  <c:v>Fantasy</c:v>
                </c:pt>
                <c:pt idx="5">
                  <c:v>Horror</c:v>
                </c:pt>
                <c:pt idx="6">
                  <c:v>Mystery</c:v>
                </c:pt>
                <c:pt idx="7">
                  <c:v>Romance</c:v>
                </c:pt>
                <c:pt idx="8">
                  <c:v>Sci-Fi</c:v>
                </c:pt>
                <c:pt idx="9">
                  <c:v>Thriller</c:v>
                </c:pt>
              </c:strCache>
            </c:strRef>
          </c:cat>
          <c:val>
            <c:numRef>
              <c:f>'pivot tables'!$B$4:$B$14</c:f>
              <c:numCache>
                <c:formatCode>General</c:formatCode>
                <c:ptCount val="10"/>
                <c:pt idx="0">
                  <c:v>23</c:v>
                </c:pt>
                <c:pt idx="1">
                  <c:v>20</c:v>
                </c:pt>
                <c:pt idx="2">
                  <c:v>20</c:v>
                </c:pt>
                <c:pt idx="3">
                  <c:v>21</c:v>
                </c:pt>
                <c:pt idx="4">
                  <c:v>24</c:v>
                </c:pt>
                <c:pt idx="5">
                  <c:v>21</c:v>
                </c:pt>
                <c:pt idx="6">
                  <c:v>13</c:v>
                </c:pt>
                <c:pt idx="7">
                  <c:v>25</c:v>
                </c:pt>
                <c:pt idx="8">
                  <c:v>16</c:v>
                </c:pt>
                <c:pt idx="9">
                  <c:v>17</c:v>
                </c:pt>
              </c:numCache>
            </c:numRef>
          </c:val>
          <c:extLst>
            <c:ext xmlns:c16="http://schemas.microsoft.com/office/drawing/2014/chart" uri="{C3380CC4-5D6E-409C-BE32-E72D297353CC}">
              <c16:uniqueId val="{00000014-67E5-4A62-A431-33A31E91535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33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[Netflix_Series_Tracker_Dashboard.xlsx]pivot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Watch Hours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2975734752523E-2"/>
          <c:y val="0.17823107017283221"/>
          <c:w val="0.86834355191767032"/>
          <c:h val="0.60046583799666542"/>
        </c:manualLayout>
      </c:layout>
      <c:barChart>
        <c:barDir val="col"/>
        <c:grouping val="clustered"/>
        <c:varyColors val="0"/>
        <c:ser>
          <c:idx val="0"/>
          <c:order val="0"/>
          <c:tx>
            <c:strRef>
              <c:f>'pivot tables'!$M$3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tables'!$L$4:$L$16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tables'!$M$4:$M$16</c:f>
              <c:numCache>
                <c:formatCode>General</c:formatCode>
                <c:ptCount val="12"/>
                <c:pt idx="0">
                  <c:v>598.29999999999995</c:v>
                </c:pt>
                <c:pt idx="1">
                  <c:v>541.4</c:v>
                </c:pt>
                <c:pt idx="2">
                  <c:v>402.29999999999995</c:v>
                </c:pt>
                <c:pt idx="3">
                  <c:v>634.80000000000007</c:v>
                </c:pt>
                <c:pt idx="4">
                  <c:v>531.9</c:v>
                </c:pt>
                <c:pt idx="5">
                  <c:v>752.49999999999989</c:v>
                </c:pt>
                <c:pt idx="6">
                  <c:v>637.99999999999989</c:v>
                </c:pt>
                <c:pt idx="7">
                  <c:v>654.9</c:v>
                </c:pt>
                <c:pt idx="8">
                  <c:v>552.70000000000016</c:v>
                </c:pt>
                <c:pt idx="9">
                  <c:v>489.5</c:v>
                </c:pt>
                <c:pt idx="10">
                  <c:v>450.40000000000003</c:v>
                </c:pt>
                <c:pt idx="11">
                  <c:v>628.1</c:v>
                </c:pt>
              </c:numCache>
            </c:numRef>
          </c:val>
          <c:extLst>
            <c:ext xmlns:c16="http://schemas.microsoft.com/office/drawing/2014/chart" uri="{C3380CC4-5D6E-409C-BE32-E72D297353CC}">
              <c16:uniqueId val="{00000000-3DD9-464E-9154-EAD7880CF33A}"/>
            </c:ext>
          </c:extLst>
        </c:ser>
        <c:dLbls>
          <c:dLblPos val="outEnd"/>
          <c:showLegendKey val="0"/>
          <c:showVal val="1"/>
          <c:showCatName val="0"/>
          <c:showSerName val="0"/>
          <c:showPercent val="0"/>
          <c:showBubbleSize val="0"/>
        </c:dLbls>
        <c:gapWidth val="100"/>
        <c:overlap val="-24"/>
        <c:axId val="1775763839"/>
        <c:axId val="1772546143"/>
      </c:barChart>
      <c:catAx>
        <c:axId val="17757638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2546143"/>
        <c:crosses val="autoZero"/>
        <c:auto val="1"/>
        <c:lblAlgn val="ctr"/>
        <c:lblOffset val="100"/>
        <c:noMultiLvlLbl val="0"/>
      </c:catAx>
      <c:valAx>
        <c:axId val="17725461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576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[Netflix_Series_Tracker_Dashboard.xlsx]pivot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rial Black" panose="020B0A04020102020204" pitchFamily="34" charset="0"/>
              </a:rPr>
              <a:t>Series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tables'!$M$20</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tables'!$L$21:$L$24</c:f>
              <c:strCache>
                <c:ptCount val="3"/>
                <c:pt idx="0">
                  <c:v>Completed</c:v>
                </c:pt>
                <c:pt idx="1">
                  <c:v>Plan to Watch</c:v>
                </c:pt>
                <c:pt idx="2">
                  <c:v>Watching</c:v>
                </c:pt>
              </c:strCache>
            </c:strRef>
          </c:cat>
          <c:val>
            <c:numRef>
              <c:f>'pivot tables'!$M$21:$M$24</c:f>
              <c:numCache>
                <c:formatCode>General</c:formatCode>
                <c:ptCount val="3"/>
                <c:pt idx="0">
                  <c:v>122</c:v>
                </c:pt>
                <c:pt idx="1">
                  <c:v>25</c:v>
                </c:pt>
                <c:pt idx="2">
                  <c:v>53</c:v>
                </c:pt>
              </c:numCache>
            </c:numRef>
          </c:val>
          <c:extLst>
            <c:ext xmlns:c16="http://schemas.microsoft.com/office/drawing/2014/chart" uri="{C3380CC4-5D6E-409C-BE32-E72D297353CC}">
              <c16:uniqueId val="{00000000-0535-498D-88C7-39CBC998B2FD}"/>
            </c:ext>
          </c:extLst>
        </c:ser>
        <c:dLbls>
          <c:showLegendKey val="0"/>
          <c:showVal val="1"/>
          <c:showCatName val="0"/>
          <c:showSerName val="0"/>
          <c:showPercent val="0"/>
          <c:showBubbleSize val="0"/>
        </c:dLbls>
        <c:gapWidth val="150"/>
        <c:shape val="box"/>
        <c:axId val="1660562463"/>
        <c:axId val="1660562879"/>
        <c:axId val="0"/>
      </c:bar3DChart>
      <c:catAx>
        <c:axId val="166056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62879"/>
        <c:crosses val="autoZero"/>
        <c:auto val="1"/>
        <c:lblAlgn val="ctr"/>
        <c:lblOffset val="100"/>
        <c:noMultiLvlLbl val="0"/>
      </c:catAx>
      <c:valAx>
        <c:axId val="166056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62463"/>
        <c:crosses val="autoZero"/>
        <c:crossBetween val="between"/>
      </c:valAx>
      <c:spPr>
        <a:solidFill>
          <a:srgbClr val="CC330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33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[Netflix_Series_Tracker_Dashboard.xlsx]pivot tables!PivotTable2</c:name>
    <c:fmtId val="1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Top 10 Highest Rated Series ⭐</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tables'!$C$19</c:f>
              <c:strCache>
                <c:ptCount val="1"/>
                <c:pt idx="0">
                  <c:v>Total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tables'!$B$20:$B$30</c:f>
              <c:strCache>
                <c:ptCount val="10"/>
                <c:pt idx="0">
                  <c:v>All of Us Are Dead</c:v>
                </c:pt>
                <c:pt idx="1">
                  <c:v>Baby Reindeer</c:v>
                </c:pt>
                <c:pt idx="2">
                  <c:v>The Glory</c:v>
                </c:pt>
                <c:pt idx="3">
                  <c:v>The Lincoln Lawyer</c:v>
                </c:pt>
                <c:pt idx="4">
                  <c:v>Locke &amp; Key</c:v>
                </c:pt>
                <c:pt idx="5">
                  <c:v>Vikings Valhalla</c:v>
                </c:pt>
                <c:pt idx="6">
                  <c:v>Alice in Borderland</c:v>
                </c:pt>
                <c:pt idx="7">
                  <c:v>Sweet Home</c:v>
                </c:pt>
                <c:pt idx="8">
                  <c:v>The Crown</c:v>
                </c:pt>
                <c:pt idx="9">
                  <c:v>Cobra Kai</c:v>
                </c:pt>
              </c:strCache>
            </c:strRef>
          </c:cat>
          <c:val>
            <c:numRef>
              <c:f>'pivot tables'!$C$20:$C$30</c:f>
              <c:numCache>
                <c:formatCode>General</c:formatCode>
                <c:ptCount val="10"/>
                <c:pt idx="0">
                  <c:v>9.25</c:v>
                </c:pt>
                <c:pt idx="1">
                  <c:v>9.0333333333333332</c:v>
                </c:pt>
                <c:pt idx="2">
                  <c:v>8.9000000000000021</c:v>
                </c:pt>
                <c:pt idx="3">
                  <c:v>8.8500000000000014</c:v>
                </c:pt>
                <c:pt idx="4">
                  <c:v>8.8333333333333339</c:v>
                </c:pt>
                <c:pt idx="5">
                  <c:v>8.65</c:v>
                </c:pt>
                <c:pt idx="6">
                  <c:v>8.5500000000000007</c:v>
                </c:pt>
                <c:pt idx="7">
                  <c:v>8.4833333333333325</c:v>
                </c:pt>
                <c:pt idx="8">
                  <c:v>8.48</c:v>
                </c:pt>
                <c:pt idx="9">
                  <c:v>8.48</c:v>
                </c:pt>
              </c:numCache>
            </c:numRef>
          </c:val>
          <c:extLst>
            <c:ext xmlns:c16="http://schemas.microsoft.com/office/drawing/2014/chart" uri="{C3380CC4-5D6E-409C-BE32-E72D297353CC}">
              <c16:uniqueId val="{00000000-60B7-4929-B3B5-A7E0BB72A054}"/>
            </c:ext>
          </c:extLst>
        </c:ser>
        <c:dLbls>
          <c:dLblPos val="outEnd"/>
          <c:showLegendKey val="0"/>
          <c:showVal val="1"/>
          <c:showCatName val="0"/>
          <c:showSerName val="0"/>
          <c:showPercent val="0"/>
          <c:showBubbleSize val="0"/>
        </c:dLbls>
        <c:gapWidth val="269"/>
        <c:overlap val="-20"/>
        <c:axId val="2027751615"/>
        <c:axId val="2027758687"/>
      </c:barChart>
      <c:catAx>
        <c:axId val="2027751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27758687"/>
        <c:crosses val="autoZero"/>
        <c:auto val="1"/>
        <c:lblAlgn val="ctr"/>
        <c:lblOffset val="100"/>
        <c:noMultiLvlLbl val="0"/>
      </c:catAx>
      <c:valAx>
        <c:axId val="202775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[Netflix_Series_Tracker_Dashboard.xlsx]pivot tables!PivotTable7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Total Watch Hours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tables'!$S$25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tables'!$R$26:$R$36</c:f>
              <c:strCache>
                <c:ptCount val="10"/>
                <c:pt idx="0">
                  <c:v>Action</c:v>
                </c:pt>
                <c:pt idx="1">
                  <c:v>Comedy</c:v>
                </c:pt>
                <c:pt idx="2">
                  <c:v>Crime</c:v>
                </c:pt>
                <c:pt idx="3">
                  <c:v>Drama</c:v>
                </c:pt>
                <c:pt idx="4">
                  <c:v>Fantasy</c:v>
                </c:pt>
                <c:pt idx="5">
                  <c:v>Horror</c:v>
                </c:pt>
                <c:pt idx="6">
                  <c:v>Mystery</c:v>
                </c:pt>
                <c:pt idx="7">
                  <c:v>Romance</c:v>
                </c:pt>
                <c:pt idx="8">
                  <c:v>Sci-Fi</c:v>
                </c:pt>
                <c:pt idx="9">
                  <c:v>Thriller</c:v>
                </c:pt>
              </c:strCache>
            </c:strRef>
          </c:cat>
          <c:val>
            <c:numRef>
              <c:f>'pivot tables'!$S$26:$S$36</c:f>
              <c:numCache>
                <c:formatCode>General</c:formatCode>
                <c:ptCount val="10"/>
                <c:pt idx="0">
                  <c:v>841.69999999999993</c:v>
                </c:pt>
                <c:pt idx="1">
                  <c:v>623.90000000000009</c:v>
                </c:pt>
                <c:pt idx="2">
                  <c:v>700.69999999999993</c:v>
                </c:pt>
                <c:pt idx="3">
                  <c:v>684.80000000000007</c:v>
                </c:pt>
                <c:pt idx="4">
                  <c:v>788</c:v>
                </c:pt>
                <c:pt idx="5">
                  <c:v>824.2</c:v>
                </c:pt>
                <c:pt idx="6">
                  <c:v>395.7</c:v>
                </c:pt>
                <c:pt idx="7">
                  <c:v>836.09999999999991</c:v>
                </c:pt>
                <c:pt idx="8">
                  <c:v>643.70000000000016</c:v>
                </c:pt>
                <c:pt idx="9">
                  <c:v>536</c:v>
                </c:pt>
              </c:numCache>
            </c:numRef>
          </c:val>
          <c:extLst>
            <c:ext xmlns:c16="http://schemas.microsoft.com/office/drawing/2014/chart" uri="{C3380CC4-5D6E-409C-BE32-E72D297353CC}">
              <c16:uniqueId val="{00000000-75F3-45F9-9816-283CDA826934}"/>
            </c:ext>
          </c:extLst>
        </c:ser>
        <c:dLbls>
          <c:dLblPos val="outEnd"/>
          <c:showLegendKey val="0"/>
          <c:showVal val="1"/>
          <c:showCatName val="0"/>
          <c:showSerName val="0"/>
          <c:showPercent val="0"/>
          <c:showBubbleSize val="0"/>
        </c:dLbls>
        <c:gapWidth val="219"/>
        <c:overlap val="-27"/>
        <c:axId val="89851871"/>
        <c:axId val="89857279"/>
      </c:barChart>
      <c:catAx>
        <c:axId val="8985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7279"/>
        <c:crosses val="autoZero"/>
        <c:auto val="1"/>
        <c:lblAlgn val="ctr"/>
        <c:lblOffset val="100"/>
        <c:noMultiLvlLbl val="0"/>
      </c:catAx>
      <c:valAx>
        <c:axId val="8985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33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2</xdr:row>
      <xdr:rowOff>142875</xdr:rowOff>
    </xdr:from>
    <xdr:to>
      <xdr:col>4</xdr:col>
      <xdr:colOff>19050</xdr:colOff>
      <xdr:row>10</xdr:row>
      <xdr:rowOff>76200</xdr:rowOff>
    </xdr:to>
    <xdr:sp macro="" textlink="">
      <xdr:nvSpPr>
        <xdr:cNvPr id="2" name="Rectangle: Rounded Corners 1">
          <a:extLst>
            <a:ext uri="{FF2B5EF4-FFF2-40B4-BE49-F238E27FC236}">
              <a16:creationId xmlns:a16="http://schemas.microsoft.com/office/drawing/2014/main" id="{96F5A8F0-156A-4234-9FE1-6B232750B16D}"/>
            </a:ext>
          </a:extLst>
        </xdr:cNvPr>
        <xdr:cNvSpPr/>
      </xdr:nvSpPr>
      <xdr:spPr>
        <a:xfrm>
          <a:off x="95250" y="676275"/>
          <a:ext cx="2362200" cy="1457325"/>
        </a:xfrm>
        <a:prstGeom prst="roundRect">
          <a:avLst/>
        </a:prstGeom>
        <a:solidFill>
          <a:srgbClr val="CC3300"/>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clientData/>
  </xdr:twoCellAnchor>
  <xdr:twoCellAnchor>
    <xdr:from>
      <xdr:col>0</xdr:col>
      <xdr:colOff>276226</xdr:colOff>
      <xdr:row>4</xdr:row>
      <xdr:rowOff>38100</xdr:rowOff>
    </xdr:from>
    <xdr:to>
      <xdr:col>3</xdr:col>
      <xdr:colOff>371476</xdr:colOff>
      <xdr:row>6</xdr:row>
      <xdr:rowOff>38100</xdr:rowOff>
    </xdr:to>
    <xdr:sp macro="" textlink="">
      <xdr:nvSpPr>
        <xdr:cNvPr id="3" name="TextBox 2">
          <a:extLst>
            <a:ext uri="{FF2B5EF4-FFF2-40B4-BE49-F238E27FC236}">
              <a16:creationId xmlns:a16="http://schemas.microsoft.com/office/drawing/2014/main" id="{B167C47B-C9A1-4615-98FB-09CE9A01A7D5}"/>
            </a:ext>
          </a:extLst>
        </xdr:cNvPr>
        <xdr:cNvSpPr txBox="1"/>
      </xdr:nvSpPr>
      <xdr:spPr>
        <a:xfrm rot="10800000" flipH="1" flipV="1">
          <a:off x="276226" y="952500"/>
          <a:ext cx="19240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2">
                  <a:lumMod val="50000"/>
                </a:schemeClr>
              </a:solidFill>
              <a:latin typeface="Arial Black" panose="020B0A04020102020204" pitchFamily="34" charset="0"/>
            </a:rPr>
            <a:t>Total Series</a:t>
          </a:r>
        </a:p>
      </xdr:txBody>
    </xdr:sp>
    <xdr:clientData/>
  </xdr:twoCellAnchor>
  <xdr:twoCellAnchor>
    <xdr:from>
      <xdr:col>0</xdr:col>
      <xdr:colOff>266700</xdr:colOff>
      <xdr:row>7</xdr:row>
      <xdr:rowOff>0</xdr:rowOff>
    </xdr:from>
    <xdr:to>
      <xdr:col>3</xdr:col>
      <xdr:colOff>400049</xdr:colOff>
      <xdr:row>8</xdr:row>
      <xdr:rowOff>180975</xdr:rowOff>
    </xdr:to>
    <xdr:sp macro="" textlink="">
      <xdr:nvSpPr>
        <xdr:cNvPr id="4" name="TextBox 3">
          <a:extLst>
            <a:ext uri="{FF2B5EF4-FFF2-40B4-BE49-F238E27FC236}">
              <a16:creationId xmlns:a16="http://schemas.microsoft.com/office/drawing/2014/main" id="{38904613-50E1-4E9C-8DD5-44B8807D4184}"/>
            </a:ext>
          </a:extLst>
        </xdr:cNvPr>
        <xdr:cNvSpPr txBox="1"/>
      </xdr:nvSpPr>
      <xdr:spPr>
        <a:xfrm>
          <a:off x="266700" y="1485900"/>
          <a:ext cx="1962149"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2">
                  <a:lumMod val="50000"/>
                </a:schemeClr>
              </a:solidFill>
              <a:latin typeface="Arial Black" panose="020B0A04020102020204" pitchFamily="34" charset="0"/>
            </a:rPr>
            <a:t>200</a:t>
          </a:r>
        </a:p>
      </xdr:txBody>
    </xdr:sp>
    <xdr:clientData/>
  </xdr:twoCellAnchor>
  <xdr:twoCellAnchor>
    <xdr:from>
      <xdr:col>4</xdr:col>
      <xdr:colOff>161926</xdr:colOff>
      <xdr:row>2</xdr:row>
      <xdr:rowOff>142875</xdr:rowOff>
    </xdr:from>
    <xdr:to>
      <xdr:col>8</xdr:col>
      <xdr:colOff>47625</xdr:colOff>
      <xdr:row>10</xdr:row>
      <xdr:rowOff>28575</xdr:rowOff>
    </xdr:to>
    <xdr:sp macro="" textlink="">
      <xdr:nvSpPr>
        <xdr:cNvPr id="5" name="Rectangle: Rounded Corners 4">
          <a:extLst>
            <a:ext uri="{FF2B5EF4-FFF2-40B4-BE49-F238E27FC236}">
              <a16:creationId xmlns:a16="http://schemas.microsoft.com/office/drawing/2014/main" id="{E14835F2-391C-44C9-8437-75540A31A67E}"/>
            </a:ext>
          </a:extLst>
        </xdr:cNvPr>
        <xdr:cNvSpPr/>
      </xdr:nvSpPr>
      <xdr:spPr>
        <a:xfrm>
          <a:off x="2600326" y="676275"/>
          <a:ext cx="2324099" cy="1409700"/>
        </a:xfrm>
        <a:prstGeom prst="roundRect">
          <a:avLst/>
        </a:prstGeom>
        <a:solidFill>
          <a:srgbClr val="CC330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276225</xdr:colOff>
      <xdr:row>4</xdr:row>
      <xdr:rowOff>95250</xdr:rowOff>
    </xdr:from>
    <xdr:to>
      <xdr:col>7</xdr:col>
      <xdr:colOff>495300</xdr:colOff>
      <xdr:row>6</xdr:row>
      <xdr:rowOff>104775</xdr:rowOff>
    </xdr:to>
    <xdr:sp macro="" textlink="">
      <xdr:nvSpPr>
        <xdr:cNvPr id="6" name="TextBox 5">
          <a:extLst>
            <a:ext uri="{FF2B5EF4-FFF2-40B4-BE49-F238E27FC236}">
              <a16:creationId xmlns:a16="http://schemas.microsoft.com/office/drawing/2014/main" id="{8E23D933-96ED-4612-9539-32D82EDD1F05}"/>
            </a:ext>
          </a:extLst>
        </xdr:cNvPr>
        <xdr:cNvSpPr txBox="1"/>
      </xdr:nvSpPr>
      <xdr:spPr>
        <a:xfrm>
          <a:off x="2714625" y="1009650"/>
          <a:ext cx="20478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Average Rating</a:t>
          </a:r>
        </a:p>
      </xdr:txBody>
    </xdr:sp>
    <xdr:clientData/>
  </xdr:twoCellAnchor>
  <xdr:twoCellAnchor>
    <xdr:from>
      <xdr:col>4</xdr:col>
      <xdr:colOff>276225</xdr:colOff>
      <xdr:row>7</xdr:row>
      <xdr:rowOff>142875</xdr:rowOff>
    </xdr:from>
    <xdr:to>
      <xdr:col>7</xdr:col>
      <xdr:colOff>533400</xdr:colOff>
      <xdr:row>9</xdr:row>
      <xdr:rowOff>0</xdr:rowOff>
    </xdr:to>
    <xdr:sp macro="" textlink="">
      <xdr:nvSpPr>
        <xdr:cNvPr id="7" name="TextBox 6">
          <a:extLst>
            <a:ext uri="{FF2B5EF4-FFF2-40B4-BE49-F238E27FC236}">
              <a16:creationId xmlns:a16="http://schemas.microsoft.com/office/drawing/2014/main" id="{4A891F7F-7241-4CDA-937F-3007EDE7922C}"/>
            </a:ext>
          </a:extLst>
        </xdr:cNvPr>
        <xdr:cNvSpPr txBox="1"/>
      </xdr:nvSpPr>
      <xdr:spPr>
        <a:xfrm>
          <a:off x="2714625" y="1628775"/>
          <a:ext cx="20859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8.2/10</a:t>
          </a:r>
        </a:p>
      </xdr:txBody>
    </xdr:sp>
    <xdr:clientData/>
  </xdr:twoCellAnchor>
  <xdr:twoCellAnchor>
    <xdr:from>
      <xdr:col>8</xdr:col>
      <xdr:colOff>220580</xdr:colOff>
      <xdr:row>3</xdr:row>
      <xdr:rowOff>130844</xdr:rowOff>
    </xdr:from>
    <xdr:to>
      <xdr:col>12</xdr:col>
      <xdr:colOff>230104</xdr:colOff>
      <xdr:row>10</xdr:row>
      <xdr:rowOff>121320</xdr:rowOff>
    </xdr:to>
    <xdr:sp macro="" textlink="">
      <xdr:nvSpPr>
        <xdr:cNvPr id="8" name="Rectangle: Rounded Corners 7">
          <a:extLst>
            <a:ext uri="{FF2B5EF4-FFF2-40B4-BE49-F238E27FC236}">
              <a16:creationId xmlns:a16="http://schemas.microsoft.com/office/drawing/2014/main" id="{9A20A9B1-05A0-4ABE-B1DD-E05B20B374C8}"/>
            </a:ext>
          </a:extLst>
        </xdr:cNvPr>
        <xdr:cNvSpPr/>
      </xdr:nvSpPr>
      <xdr:spPr>
        <a:xfrm>
          <a:off x="5113422" y="852739"/>
          <a:ext cx="2455945" cy="1323976"/>
        </a:xfrm>
        <a:prstGeom prst="roundRect">
          <a:avLst/>
        </a:prstGeom>
        <a:solidFill>
          <a:srgbClr val="CC330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314325</xdr:colOff>
      <xdr:row>4</xdr:row>
      <xdr:rowOff>76200</xdr:rowOff>
    </xdr:from>
    <xdr:to>
      <xdr:col>11</xdr:col>
      <xdr:colOff>600075</xdr:colOff>
      <xdr:row>6</xdr:row>
      <xdr:rowOff>85725</xdr:rowOff>
    </xdr:to>
    <xdr:sp macro="" textlink="">
      <xdr:nvSpPr>
        <xdr:cNvPr id="9" name="TextBox 8">
          <a:extLst>
            <a:ext uri="{FF2B5EF4-FFF2-40B4-BE49-F238E27FC236}">
              <a16:creationId xmlns:a16="http://schemas.microsoft.com/office/drawing/2014/main" id="{54EF8CB6-8121-47BC-BE88-E031CC206533}"/>
            </a:ext>
          </a:extLst>
        </xdr:cNvPr>
        <xdr:cNvSpPr txBox="1"/>
      </xdr:nvSpPr>
      <xdr:spPr>
        <a:xfrm>
          <a:off x="5191125" y="990600"/>
          <a:ext cx="2114550"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Watch</a:t>
          </a:r>
          <a:r>
            <a:rPr lang="en-IN" sz="1100" b="1" baseline="0">
              <a:latin typeface="Arial Black" panose="020B0A04020102020204" pitchFamily="34" charset="0"/>
            </a:rPr>
            <a:t> Hours</a:t>
          </a:r>
          <a:endParaRPr lang="en-IN" sz="1100" b="1">
            <a:latin typeface="Arial Black" panose="020B0A04020102020204" pitchFamily="34" charset="0"/>
          </a:endParaRPr>
        </a:p>
      </xdr:txBody>
    </xdr:sp>
    <xdr:clientData/>
  </xdr:twoCellAnchor>
  <xdr:twoCellAnchor>
    <xdr:from>
      <xdr:col>8</xdr:col>
      <xdr:colOff>314325</xdr:colOff>
      <xdr:row>7</xdr:row>
      <xdr:rowOff>57150</xdr:rowOff>
    </xdr:from>
    <xdr:to>
      <xdr:col>12</xdr:col>
      <xdr:colOff>66675</xdr:colOff>
      <xdr:row>8</xdr:row>
      <xdr:rowOff>142875</xdr:rowOff>
    </xdr:to>
    <xdr:sp macro="" textlink="">
      <xdr:nvSpPr>
        <xdr:cNvPr id="10" name="TextBox 9">
          <a:extLst>
            <a:ext uri="{FF2B5EF4-FFF2-40B4-BE49-F238E27FC236}">
              <a16:creationId xmlns:a16="http://schemas.microsoft.com/office/drawing/2014/main" id="{1846CB4B-B0F1-453E-B349-D7BA7C627009}"/>
            </a:ext>
          </a:extLst>
        </xdr:cNvPr>
        <xdr:cNvSpPr txBox="1"/>
      </xdr:nvSpPr>
      <xdr:spPr>
        <a:xfrm>
          <a:off x="5191125" y="1543050"/>
          <a:ext cx="21907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53 hrs</a:t>
          </a:r>
        </a:p>
      </xdr:txBody>
    </xdr:sp>
    <xdr:clientData/>
  </xdr:twoCellAnchor>
  <xdr:twoCellAnchor>
    <xdr:from>
      <xdr:col>12</xdr:col>
      <xdr:colOff>409575</xdr:colOff>
      <xdr:row>2</xdr:row>
      <xdr:rowOff>161926</xdr:rowOff>
    </xdr:from>
    <xdr:to>
      <xdr:col>16</xdr:col>
      <xdr:colOff>247650</xdr:colOff>
      <xdr:row>10</xdr:row>
      <xdr:rowOff>9526</xdr:rowOff>
    </xdr:to>
    <xdr:sp macro="" textlink="">
      <xdr:nvSpPr>
        <xdr:cNvPr id="11" name="Rectangle: Rounded Corners 10">
          <a:extLst>
            <a:ext uri="{FF2B5EF4-FFF2-40B4-BE49-F238E27FC236}">
              <a16:creationId xmlns:a16="http://schemas.microsoft.com/office/drawing/2014/main" id="{CB6FD96B-A87A-4099-848E-BD3AD11AE748}"/>
            </a:ext>
          </a:extLst>
        </xdr:cNvPr>
        <xdr:cNvSpPr/>
      </xdr:nvSpPr>
      <xdr:spPr>
        <a:xfrm>
          <a:off x="7724775" y="695326"/>
          <a:ext cx="2276475" cy="1371600"/>
        </a:xfrm>
        <a:prstGeom prst="roundRect">
          <a:avLst/>
        </a:prstGeom>
        <a:solidFill>
          <a:srgbClr val="CC330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523875</xdr:colOff>
      <xdr:row>4</xdr:row>
      <xdr:rowOff>104775</xdr:rowOff>
    </xdr:from>
    <xdr:to>
      <xdr:col>16</xdr:col>
      <xdr:colOff>95250</xdr:colOff>
      <xdr:row>7</xdr:row>
      <xdr:rowOff>19049</xdr:rowOff>
    </xdr:to>
    <xdr:sp macro="" textlink="">
      <xdr:nvSpPr>
        <xdr:cNvPr id="12" name="TextBox 11">
          <a:extLst>
            <a:ext uri="{FF2B5EF4-FFF2-40B4-BE49-F238E27FC236}">
              <a16:creationId xmlns:a16="http://schemas.microsoft.com/office/drawing/2014/main" id="{1A947CA9-8984-43D7-8B6C-88B525B0B8C4}"/>
            </a:ext>
          </a:extLst>
        </xdr:cNvPr>
        <xdr:cNvSpPr txBox="1"/>
      </xdr:nvSpPr>
      <xdr:spPr>
        <a:xfrm>
          <a:off x="7839075" y="1019175"/>
          <a:ext cx="2009775"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Completed</a:t>
          </a:r>
        </a:p>
      </xdr:txBody>
    </xdr:sp>
    <xdr:clientData/>
  </xdr:twoCellAnchor>
  <xdr:twoCellAnchor>
    <xdr:from>
      <xdr:col>12</xdr:col>
      <xdr:colOff>552451</xdr:colOff>
      <xdr:row>7</xdr:row>
      <xdr:rowOff>171450</xdr:rowOff>
    </xdr:from>
    <xdr:to>
      <xdr:col>16</xdr:col>
      <xdr:colOff>85725</xdr:colOff>
      <xdr:row>9</xdr:row>
      <xdr:rowOff>57150</xdr:rowOff>
    </xdr:to>
    <xdr:sp macro="" textlink="">
      <xdr:nvSpPr>
        <xdr:cNvPr id="13" name="TextBox 12">
          <a:extLst>
            <a:ext uri="{FF2B5EF4-FFF2-40B4-BE49-F238E27FC236}">
              <a16:creationId xmlns:a16="http://schemas.microsoft.com/office/drawing/2014/main" id="{F9607FE3-0EC7-4F46-B0C1-DA736DC356B1}"/>
            </a:ext>
          </a:extLst>
        </xdr:cNvPr>
        <xdr:cNvSpPr txBox="1"/>
      </xdr:nvSpPr>
      <xdr:spPr>
        <a:xfrm>
          <a:off x="7867651" y="1657350"/>
          <a:ext cx="1971674"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122</a:t>
          </a:r>
        </a:p>
      </xdr:txBody>
    </xdr:sp>
    <xdr:clientData/>
  </xdr:twoCellAnchor>
  <xdr:twoCellAnchor>
    <xdr:from>
      <xdr:col>0</xdr:col>
      <xdr:colOff>161924</xdr:colOff>
      <xdr:row>11</xdr:row>
      <xdr:rowOff>28574</xdr:rowOff>
    </xdr:from>
    <xdr:to>
      <xdr:col>8</xdr:col>
      <xdr:colOff>190499</xdr:colOff>
      <xdr:row>28</xdr:row>
      <xdr:rowOff>57727</xdr:rowOff>
    </xdr:to>
    <xdr:graphicFrame macro="">
      <xdr:nvGraphicFramePr>
        <xdr:cNvPr id="14" name="Chart 13">
          <a:extLst>
            <a:ext uri="{FF2B5EF4-FFF2-40B4-BE49-F238E27FC236}">
              <a16:creationId xmlns:a16="http://schemas.microsoft.com/office/drawing/2014/main" id="{2353A5DB-481E-4C24-AD6D-FEAE05A0A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431519</xdr:colOff>
      <xdr:row>11</xdr:row>
      <xdr:rowOff>76970</xdr:rowOff>
    </xdr:from>
    <xdr:to>
      <xdr:col>17</xdr:col>
      <xdr:colOff>147190</xdr:colOff>
      <xdr:row>27</xdr:row>
      <xdr:rowOff>152305</xdr:rowOff>
    </xdr:to>
    <xdr:graphicFrame macro="">
      <xdr:nvGraphicFramePr>
        <xdr:cNvPr id="15" name="Chart 14">
          <a:extLst>
            <a:ext uri="{FF2B5EF4-FFF2-40B4-BE49-F238E27FC236}">
              <a16:creationId xmlns:a16="http://schemas.microsoft.com/office/drawing/2014/main" id="{169EA7EE-128D-4F2C-A672-146E116B6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298544</xdr:colOff>
      <xdr:row>11</xdr:row>
      <xdr:rowOff>28575</xdr:rowOff>
    </xdr:from>
    <xdr:to>
      <xdr:col>24</xdr:col>
      <xdr:colOff>114299</xdr:colOff>
      <xdr:row>26</xdr:row>
      <xdr:rowOff>180974</xdr:rowOff>
    </xdr:to>
    <xdr:graphicFrame macro="">
      <xdr:nvGraphicFramePr>
        <xdr:cNvPr id="16" name="Chart 15">
          <a:extLst>
            <a:ext uri="{FF2B5EF4-FFF2-40B4-BE49-F238E27FC236}">
              <a16:creationId xmlns:a16="http://schemas.microsoft.com/office/drawing/2014/main" id="{CCBD211B-E321-4947-B0E0-EA6539BF2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533400</xdr:colOff>
      <xdr:row>2</xdr:row>
      <xdr:rowOff>123825</xdr:rowOff>
    </xdr:from>
    <xdr:to>
      <xdr:col>20</xdr:col>
      <xdr:colOff>466725</xdr:colOff>
      <xdr:row>9</xdr:row>
      <xdr:rowOff>114300</xdr:rowOff>
    </xdr:to>
    <xdr:sp macro="" textlink="">
      <xdr:nvSpPr>
        <xdr:cNvPr id="17" name="Rectangle: Rounded Corners 16">
          <a:extLst>
            <a:ext uri="{FF2B5EF4-FFF2-40B4-BE49-F238E27FC236}">
              <a16:creationId xmlns:a16="http://schemas.microsoft.com/office/drawing/2014/main" id="{DD603A6D-8981-4F45-97B5-B6D75D7DB1B7}"/>
            </a:ext>
          </a:extLst>
        </xdr:cNvPr>
        <xdr:cNvSpPr/>
      </xdr:nvSpPr>
      <xdr:spPr>
        <a:xfrm>
          <a:off x="10287000" y="657225"/>
          <a:ext cx="2371725" cy="1323975"/>
        </a:xfrm>
        <a:prstGeom prst="roundRect">
          <a:avLst/>
        </a:prstGeom>
        <a:solidFill>
          <a:srgbClr val="CC330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590550</xdr:colOff>
      <xdr:row>4</xdr:row>
      <xdr:rowOff>95250</xdr:rowOff>
    </xdr:from>
    <xdr:to>
      <xdr:col>20</xdr:col>
      <xdr:colOff>419100</xdr:colOff>
      <xdr:row>6</xdr:row>
      <xdr:rowOff>142875</xdr:rowOff>
    </xdr:to>
    <xdr:sp macro="" textlink="">
      <xdr:nvSpPr>
        <xdr:cNvPr id="18" name="TextBox 17">
          <a:extLst>
            <a:ext uri="{FF2B5EF4-FFF2-40B4-BE49-F238E27FC236}">
              <a16:creationId xmlns:a16="http://schemas.microsoft.com/office/drawing/2014/main" id="{6D0AE864-BAF9-4BCB-9C1C-0D7AB178366F}"/>
            </a:ext>
          </a:extLst>
        </xdr:cNvPr>
        <xdr:cNvSpPr txBox="1"/>
      </xdr:nvSpPr>
      <xdr:spPr>
        <a:xfrm>
          <a:off x="10344150" y="1009650"/>
          <a:ext cx="226695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Highest</a:t>
          </a:r>
          <a:r>
            <a:rPr lang="en-IN" sz="1100" b="1" baseline="0">
              <a:latin typeface="Arial Black" panose="020B0A04020102020204" pitchFamily="34" charset="0"/>
            </a:rPr>
            <a:t> rated series</a:t>
          </a:r>
          <a:endParaRPr lang="en-IN" sz="1100" b="1">
            <a:latin typeface="Arial Black" panose="020B0A04020102020204" pitchFamily="34" charset="0"/>
          </a:endParaRPr>
        </a:p>
      </xdr:txBody>
    </xdr:sp>
    <xdr:clientData/>
  </xdr:twoCellAnchor>
  <xdr:twoCellAnchor>
    <xdr:from>
      <xdr:col>17</xdr:col>
      <xdr:colOff>161925</xdr:colOff>
      <xdr:row>7</xdr:row>
      <xdr:rowOff>47625</xdr:rowOff>
    </xdr:from>
    <xdr:to>
      <xdr:col>20</xdr:col>
      <xdr:colOff>228600</xdr:colOff>
      <xdr:row>8</xdr:row>
      <xdr:rowOff>180975</xdr:rowOff>
    </xdr:to>
    <xdr:sp macro="" textlink="">
      <xdr:nvSpPr>
        <xdr:cNvPr id="19" name="TextBox 18">
          <a:extLst>
            <a:ext uri="{FF2B5EF4-FFF2-40B4-BE49-F238E27FC236}">
              <a16:creationId xmlns:a16="http://schemas.microsoft.com/office/drawing/2014/main" id="{B17439BD-D95A-499B-AC2D-81D274CCAABD}"/>
            </a:ext>
          </a:extLst>
        </xdr:cNvPr>
        <xdr:cNvSpPr txBox="1"/>
      </xdr:nvSpPr>
      <xdr:spPr>
        <a:xfrm>
          <a:off x="10525125" y="1533525"/>
          <a:ext cx="18954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9.8</a:t>
          </a:r>
        </a:p>
      </xdr:txBody>
    </xdr:sp>
    <xdr:clientData/>
  </xdr:twoCellAnchor>
  <xdr:twoCellAnchor>
    <xdr:from>
      <xdr:col>21</xdr:col>
      <xdr:colOff>114300</xdr:colOff>
      <xdr:row>2</xdr:row>
      <xdr:rowOff>161925</xdr:rowOff>
    </xdr:from>
    <xdr:to>
      <xdr:col>25</xdr:col>
      <xdr:colOff>133350</xdr:colOff>
      <xdr:row>9</xdr:row>
      <xdr:rowOff>133350</xdr:rowOff>
    </xdr:to>
    <xdr:sp macro="" textlink="">
      <xdr:nvSpPr>
        <xdr:cNvPr id="20" name="Rectangle: Rounded Corners 19">
          <a:extLst>
            <a:ext uri="{FF2B5EF4-FFF2-40B4-BE49-F238E27FC236}">
              <a16:creationId xmlns:a16="http://schemas.microsoft.com/office/drawing/2014/main" id="{249D0988-5ADF-46C8-9348-B99200D514DD}"/>
            </a:ext>
          </a:extLst>
        </xdr:cNvPr>
        <xdr:cNvSpPr/>
      </xdr:nvSpPr>
      <xdr:spPr>
        <a:xfrm>
          <a:off x="12915900" y="695325"/>
          <a:ext cx="2457450" cy="1304925"/>
        </a:xfrm>
        <a:prstGeom prst="roundRect">
          <a:avLst/>
        </a:prstGeom>
        <a:solidFill>
          <a:srgbClr val="CC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257175</xdr:colOff>
      <xdr:row>4</xdr:row>
      <xdr:rowOff>57150</xdr:rowOff>
    </xdr:from>
    <xdr:to>
      <xdr:col>24</xdr:col>
      <xdr:colOff>552450</xdr:colOff>
      <xdr:row>6</xdr:row>
      <xdr:rowOff>95250</xdr:rowOff>
    </xdr:to>
    <xdr:sp macro="" textlink="">
      <xdr:nvSpPr>
        <xdr:cNvPr id="21" name="TextBox 20">
          <a:extLst>
            <a:ext uri="{FF2B5EF4-FFF2-40B4-BE49-F238E27FC236}">
              <a16:creationId xmlns:a16="http://schemas.microsoft.com/office/drawing/2014/main" id="{C291CA69-0DCC-4183-AA21-D8D91F8B1636}"/>
            </a:ext>
          </a:extLst>
        </xdr:cNvPr>
        <xdr:cNvSpPr txBox="1"/>
      </xdr:nvSpPr>
      <xdr:spPr>
        <a:xfrm>
          <a:off x="13058775" y="971550"/>
          <a:ext cx="212407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Lowest</a:t>
          </a:r>
          <a:r>
            <a:rPr lang="en-IN" sz="1100" b="1" baseline="0">
              <a:latin typeface="Arial Black" panose="020B0A04020102020204" pitchFamily="34" charset="0"/>
            </a:rPr>
            <a:t> rated series</a:t>
          </a:r>
          <a:endParaRPr lang="en-IN" sz="1100" b="1">
            <a:latin typeface="Arial Black" panose="020B0A04020102020204" pitchFamily="34" charset="0"/>
          </a:endParaRPr>
        </a:p>
      </xdr:txBody>
    </xdr:sp>
    <xdr:clientData/>
  </xdr:twoCellAnchor>
  <xdr:twoCellAnchor>
    <xdr:from>
      <xdr:col>21</xdr:col>
      <xdr:colOff>361949</xdr:colOff>
      <xdr:row>7</xdr:row>
      <xdr:rowOff>66675</xdr:rowOff>
    </xdr:from>
    <xdr:to>
      <xdr:col>24</xdr:col>
      <xdr:colOff>523874</xdr:colOff>
      <xdr:row>8</xdr:row>
      <xdr:rowOff>133349</xdr:rowOff>
    </xdr:to>
    <xdr:sp macro="" textlink="">
      <xdr:nvSpPr>
        <xdr:cNvPr id="22" name="TextBox 21">
          <a:extLst>
            <a:ext uri="{FF2B5EF4-FFF2-40B4-BE49-F238E27FC236}">
              <a16:creationId xmlns:a16="http://schemas.microsoft.com/office/drawing/2014/main" id="{E1D8DC2B-DE98-4EF4-823C-7DC227B2DACA}"/>
            </a:ext>
          </a:extLst>
        </xdr:cNvPr>
        <xdr:cNvSpPr txBox="1"/>
      </xdr:nvSpPr>
      <xdr:spPr>
        <a:xfrm>
          <a:off x="13163549" y="1552575"/>
          <a:ext cx="1990725" cy="257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6.5</a:t>
          </a:r>
        </a:p>
      </xdr:txBody>
    </xdr:sp>
    <xdr:clientData/>
  </xdr:twoCellAnchor>
  <xdr:twoCellAnchor>
    <xdr:from>
      <xdr:col>25</xdr:col>
      <xdr:colOff>333375</xdr:colOff>
      <xdr:row>2</xdr:row>
      <xdr:rowOff>180975</xdr:rowOff>
    </xdr:from>
    <xdr:to>
      <xdr:col>29</xdr:col>
      <xdr:colOff>0</xdr:colOff>
      <xdr:row>9</xdr:row>
      <xdr:rowOff>161925</xdr:rowOff>
    </xdr:to>
    <xdr:sp macro="" textlink="">
      <xdr:nvSpPr>
        <xdr:cNvPr id="23" name="Rectangle: Rounded Corners 22">
          <a:extLst>
            <a:ext uri="{FF2B5EF4-FFF2-40B4-BE49-F238E27FC236}">
              <a16:creationId xmlns:a16="http://schemas.microsoft.com/office/drawing/2014/main" id="{5A6D3CAE-DD13-4A04-B50F-55999A4A718B}"/>
            </a:ext>
          </a:extLst>
        </xdr:cNvPr>
        <xdr:cNvSpPr/>
      </xdr:nvSpPr>
      <xdr:spPr>
        <a:xfrm>
          <a:off x="15573375" y="714375"/>
          <a:ext cx="2105025" cy="1314450"/>
        </a:xfrm>
        <a:prstGeom prst="roundRect">
          <a:avLst/>
        </a:prstGeom>
        <a:solidFill>
          <a:srgbClr val="CC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476250</xdr:colOff>
      <xdr:row>3</xdr:row>
      <xdr:rowOff>152399</xdr:rowOff>
    </xdr:from>
    <xdr:to>
      <xdr:col>28</xdr:col>
      <xdr:colOff>495300</xdr:colOff>
      <xdr:row>6</xdr:row>
      <xdr:rowOff>66674</xdr:rowOff>
    </xdr:to>
    <xdr:sp macro="" textlink="">
      <xdr:nvSpPr>
        <xdr:cNvPr id="24" name="TextBox 23">
          <a:extLst>
            <a:ext uri="{FF2B5EF4-FFF2-40B4-BE49-F238E27FC236}">
              <a16:creationId xmlns:a16="http://schemas.microsoft.com/office/drawing/2014/main" id="{0FF53525-64D2-4C3B-8891-18A303B5BCF2}"/>
            </a:ext>
          </a:extLst>
        </xdr:cNvPr>
        <xdr:cNvSpPr txBox="1"/>
      </xdr:nvSpPr>
      <xdr:spPr>
        <a:xfrm>
          <a:off x="15716250" y="876299"/>
          <a:ext cx="1847850"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plan</a:t>
          </a:r>
          <a:r>
            <a:rPr lang="en-IN" sz="1100" b="1" baseline="0">
              <a:latin typeface="Arial Black" panose="020B0A04020102020204" pitchFamily="34" charset="0"/>
            </a:rPr>
            <a:t> </a:t>
          </a:r>
          <a:r>
            <a:rPr lang="en-IN" sz="1100" b="1">
              <a:latin typeface="Arial Black" panose="020B0A04020102020204" pitchFamily="34" charset="0"/>
            </a:rPr>
            <a:t>to watch </a:t>
          </a:r>
        </a:p>
      </xdr:txBody>
    </xdr:sp>
    <xdr:clientData/>
  </xdr:twoCellAnchor>
  <xdr:twoCellAnchor>
    <xdr:from>
      <xdr:col>25</xdr:col>
      <xdr:colOff>542925</xdr:colOff>
      <xdr:row>7</xdr:row>
      <xdr:rowOff>38100</xdr:rowOff>
    </xdr:from>
    <xdr:to>
      <xdr:col>28</xdr:col>
      <xdr:colOff>457200</xdr:colOff>
      <xdr:row>9</xdr:row>
      <xdr:rowOff>19050</xdr:rowOff>
    </xdr:to>
    <xdr:sp macro="" textlink="">
      <xdr:nvSpPr>
        <xdr:cNvPr id="25" name="TextBox 24">
          <a:extLst>
            <a:ext uri="{FF2B5EF4-FFF2-40B4-BE49-F238E27FC236}">
              <a16:creationId xmlns:a16="http://schemas.microsoft.com/office/drawing/2014/main" id="{E631D086-E821-4D24-8242-DAA2745ADA4F}"/>
            </a:ext>
          </a:extLst>
        </xdr:cNvPr>
        <xdr:cNvSpPr txBox="1"/>
      </xdr:nvSpPr>
      <xdr:spPr>
        <a:xfrm>
          <a:off x="15782925" y="1524000"/>
          <a:ext cx="17430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Black" panose="020B0A04020102020204" pitchFamily="34" charset="0"/>
            </a:rPr>
            <a:t>25</a:t>
          </a:r>
        </a:p>
      </xdr:txBody>
    </xdr:sp>
    <xdr:clientData/>
  </xdr:twoCellAnchor>
  <xdr:twoCellAnchor editAs="oneCell">
    <xdr:from>
      <xdr:col>17</xdr:col>
      <xdr:colOff>314325</xdr:colOff>
      <xdr:row>27</xdr:row>
      <xdr:rowOff>171450</xdr:rowOff>
    </xdr:from>
    <xdr:to>
      <xdr:col>24</xdr:col>
      <xdr:colOff>19050</xdr:colOff>
      <xdr:row>46</xdr:row>
      <xdr:rowOff>161925</xdr:rowOff>
    </xdr:to>
    <mc:AlternateContent xmlns:mc="http://schemas.openxmlformats.org/markup-compatibility/2006" xmlns:a14="http://schemas.microsoft.com/office/drawing/2010/main">
      <mc:Choice Requires="a14">
        <xdr:graphicFrame macro="">
          <xdr:nvGraphicFramePr>
            <xdr:cNvPr id="26" name="Month Watched">
              <a:extLst>
                <a:ext uri="{FF2B5EF4-FFF2-40B4-BE49-F238E27FC236}">
                  <a16:creationId xmlns:a16="http://schemas.microsoft.com/office/drawing/2014/main" id="{5E02DDC7-B257-41B0-8595-D9F0E1E38F4D}"/>
                </a:ext>
              </a:extLst>
            </xdr:cNvPr>
            <xdr:cNvGraphicFramePr/>
          </xdr:nvGraphicFramePr>
          <xdr:xfrm>
            <a:off x="0" y="0"/>
            <a:ext cx="0" cy="0"/>
          </xdr:xfrm>
          <a:graphic>
            <a:graphicData uri="http://schemas.microsoft.com/office/drawing/2010/slicer">
              <sle:slicer xmlns:sle="http://schemas.microsoft.com/office/drawing/2010/slicer" name="Month Watched"/>
            </a:graphicData>
          </a:graphic>
        </xdr:graphicFrame>
      </mc:Choice>
      <mc:Fallback xmlns="">
        <xdr:sp macro="" textlink="">
          <xdr:nvSpPr>
            <xdr:cNvPr id="0" name=""/>
            <xdr:cNvSpPr>
              <a:spLocks noTextEdit="1"/>
            </xdr:cNvSpPr>
          </xdr:nvSpPr>
          <xdr:spPr>
            <a:xfrm>
              <a:off x="10711614" y="5465345"/>
              <a:ext cx="3985962" cy="360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323849</xdr:colOff>
      <xdr:row>36</xdr:row>
      <xdr:rowOff>28576</xdr:rowOff>
    </xdr:from>
    <xdr:to>
      <xdr:col>29</xdr:col>
      <xdr:colOff>28574</xdr:colOff>
      <xdr:row>47</xdr:row>
      <xdr:rowOff>9526</xdr:rowOff>
    </xdr:to>
    <mc:AlternateContent xmlns:mc="http://schemas.openxmlformats.org/markup-compatibility/2006" xmlns:a14="http://schemas.microsoft.com/office/drawing/2010/main">
      <mc:Choice Requires="a14">
        <xdr:graphicFrame macro="">
          <xdr:nvGraphicFramePr>
            <xdr:cNvPr id="27" name="Language">
              <a:extLst>
                <a:ext uri="{FF2B5EF4-FFF2-40B4-BE49-F238E27FC236}">
                  <a16:creationId xmlns:a16="http://schemas.microsoft.com/office/drawing/2014/main" id="{EAA71EF6-E7A3-4EDA-9484-1239A588892F}"/>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5002375" y="7036971"/>
              <a:ext cx="2762752"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380999</xdr:colOff>
      <xdr:row>19</xdr:row>
      <xdr:rowOff>66675</xdr:rowOff>
    </xdr:from>
    <xdr:to>
      <xdr:col>29</xdr:col>
      <xdr:colOff>28574</xdr:colOff>
      <xdr:row>36</xdr:row>
      <xdr:rowOff>9524</xdr:rowOff>
    </xdr:to>
    <mc:AlternateContent xmlns:mc="http://schemas.openxmlformats.org/markup-compatibility/2006" xmlns:a14="http://schemas.microsoft.com/office/drawing/2010/main">
      <mc:Choice Requires="a14">
        <xdr:graphicFrame macro="">
          <xdr:nvGraphicFramePr>
            <xdr:cNvPr id="28" name="Genre">
              <a:extLst>
                <a:ext uri="{FF2B5EF4-FFF2-40B4-BE49-F238E27FC236}">
                  <a16:creationId xmlns:a16="http://schemas.microsoft.com/office/drawing/2014/main" id="{D257E645-4CBC-4AAF-8AD1-3D0E408F93A6}"/>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5059525" y="3836570"/>
              <a:ext cx="2705602" cy="3181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400049</xdr:colOff>
      <xdr:row>11</xdr:row>
      <xdr:rowOff>95251</xdr:rowOff>
    </xdr:from>
    <xdr:to>
      <xdr:col>29</xdr:col>
      <xdr:colOff>9524</xdr:colOff>
      <xdr:row>18</xdr:row>
      <xdr:rowOff>114300</xdr:rowOff>
    </xdr:to>
    <mc:AlternateContent xmlns:mc="http://schemas.openxmlformats.org/markup-compatibility/2006" xmlns:a14="http://schemas.microsoft.com/office/drawing/2010/main">
      <mc:Choice Requires="a14">
        <xdr:graphicFrame macro="">
          <xdr:nvGraphicFramePr>
            <xdr:cNvPr id="29" name="Status">
              <a:extLst>
                <a:ext uri="{FF2B5EF4-FFF2-40B4-BE49-F238E27FC236}">
                  <a16:creationId xmlns:a16="http://schemas.microsoft.com/office/drawing/2014/main" id="{9A4B901A-E4D1-4555-821F-183A1FB39BB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078575" y="2341146"/>
              <a:ext cx="2667502" cy="135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161924</xdr:colOff>
      <xdr:row>29</xdr:row>
      <xdr:rowOff>57150</xdr:rowOff>
    </xdr:from>
    <xdr:to>
      <xdr:col>8</xdr:col>
      <xdr:colOff>182803</xdr:colOff>
      <xdr:row>46</xdr:row>
      <xdr:rowOff>156380</xdr:rowOff>
    </xdr:to>
    <xdr:graphicFrame macro="">
      <xdr:nvGraphicFramePr>
        <xdr:cNvPr id="30" name="Chart 29">
          <a:extLst>
            <a:ext uri="{FF2B5EF4-FFF2-40B4-BE49-F238E27FC236}">
              <a16:creationId xmlns:a16="http://schemas.microsoft.com/office/drawing/2014/main" id="{CF516960-9473-4A07-BFF5-96035A7CF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467207</xdr:colOff>
      <xdr:row>29</xdr:row>
      <xdr:rowOff>8371</xdr:rowOff>
    </xdr:from>
    <xdr:to>
      <xdr:col>17</xdr:col>
      <xdr:colOff>190981</xdr:colOff>
      <xdr:row>47</xdr:row>
      <xdr:rowOff>55143</xdr:rowOff>
    </xdr:to>
    <xdr:graphicFrame macro="">
      <xdr:nvGraphicFramePr>
        <xdr:cNvPr id="32" name="Chart 31">
          <a:extLst>
            <a:ext uri="{FF2B5EF4-FFF2-40B4-BE49-F238E27FC236}">
              <a16:creationId xmlns:a16="http://schemas.microsoft.com/office/drawing/2014/main" id="{4FE49424-FE22-4A23-96ED-B620F814B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167331</xdr:colOff>
      <xdr:row>49</xdr:row>
      <xdr:rowOff>77230</xdr:rowOff>
    </xdr:from>
    <xdr:to>
      <xdr:col>8</xdr:col>
      <xdr:colOff>154459</xdr:colOff>
      <xdr:row>64</xdr:row>
      <xdr:rowOff>90237</xdr:rowOff>
    </xdr:to>
    <xdr:sp macro="" textlink="">
      <xdr:nvSpPr>
        <xdr:cNvPr id="34" name="TextBox 33">
          <a:extLst>
            <a:ext uri="{FF2B5EF4-FFF2-40B4-BE49-F238E27FC236}">
              <a16:creationId xmlns:a16="http://schemas.microsoft.com/office/drawing/2014/main" id="{DA2DD1CF-8CB3-4DA5-8B7E-D8BAE2629D0D}"/>
            </a:ext>
          </a:extLst>
        </xdr:cNvPr>
        <xdr:cNvSpPr txBox="1"/>
      </xdr:nvSpPr>
      <xdr:spPr>
        <a:xfrm>
          <a:off x="167331" y="9562125"/>
          <a:ext cx="4879970" cy="2870507"/>
        </a:xfrm>
        <a:prstGeom prst="rect">
          <a:avLst/>
        </a:prstGeom>
        <a:solidFill>
          <a:srgbClr val="CC33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none">
              <a:solidFill>
                <a:schemeClr val="dk1"/>
              </a:solidFill>
              <a:latin typeface="Arial Black" panose="020B0A04020102020204" pitchFamily="34" charset="0"/>
              <a:ea typeface="+mn-ea"/>
              <a:cs typeface="+mn-cs"/>
            </a:rPr>
            <a:t>Key Insights</a:t>
          </a:r>
        </a:p>
        <a:p>
          <a:endParaRPr lang="en-US" sz="1100">
            <a:solidFill>
              <a:schemeClr val="dk1"/>
            </a:solidFill>
            <a:latin typeface="+mn-lt"/>
            <a:ea typeface="+mn-ea"/>
            <a:cs typeface="+mn-cs"/>
          </a:endParaRPr>
        </a:p>
        <a:p>
          <a:r>
            <a:rPr lang="en-US" sz="1100">
              <a:solidFill>
                <a:schemeClr val="dk1"/>
              </a:solidFill>
              <a:latin typeface="+mn-lt"/>
              <a:ea typeface="+mn-ea"/>
              <a:cs typeface="+mn-cs"/>
            </a:rPr>
            <a:t>• </a:t>
          </a:r>
          <a:r>
            <a:rPr lang="en-US" sz="1100" b="0">
              <a:solidFill>
                <a:schemeClr val="dk1"/>
              </a:solidFill>
              <a:latin typeface="Arial Black" panose="020B0A04020102020204" pitchFamily="34" charset="0"/>
              <a:ea typeface="+mn-ea"/>
              <a:cs typeface="+mn-cs"/>
            </a:rPr>
            <a:t>Completed series = 61%</a:t>
          </a:r>
        </a:p>
        <a:p>
          <a:endParaRPr lang="en-US" sz="1100" b="0">
            <a:solidFill>
              <a:schemeClr val="dk1"/>
            </a:solidFill>
            <a:latin typeface="Arial Black" panose="020B0A04020102020204" pitchFamily="34" charset="0"/>
            <a:ea typeface="+mn-ea"/>
            <a:cs typeface="+mn-cs"/>
          </a:endParaRPr>
        </a:p>
        <a:p>
          <a:r>
            <a:rPr lang="en-US" sz="1100" b="0">
              <a:solidFill>
                <a:schemeClr val="dk1"/>
              </a:solidFill>
              <a:latin typeface="Arial Black" panose="020B0A04020102020204" pitchFamily="34" charset="0"/>
              <a:ea typeface="+mn-ea"/>
              <a:cs typeface="+mn-cs"/>
            </a:rPr>
            <a:t>• June recorded highest watch hours</a:t>
          </a:r>
        </a:p>
        <a:p>
          <a:endParaRPr lang="en-US" sz="1100" b="0">
            <a:solidFill>
              <a:schemeClr val="dk1"/>
            </a:solidFill>
            <a:latin typeface="Arial Black" panose="020B0A04020102020204" pitchFamily="34" charset="0"/>
            <a:ea typeface="+mn-ea"/>
            <a:cs typeface="+mn-cs"/>
          </a:endParaRPr>
        </a:p>
        <a:p>
          <a:r>
            <a:rPr lang="en-US" sz="1100" b="0">
              <a:solidFill>
                <a:schemeClr val="dk1"/>
              </a:solidFill>
              <a:latin typeface="Arial Black" panose="020B0A04020102020204" pitchFamily="34" charset="0"/>
              <a:ea typeface="+mn-ea"/>
              <a:cs typeface="+mn-cs"/>
            </a:rPr>
            <a:t>• Romance is the largest genre</a:t>
          </a:r>
        </a:p>
        <a:p>
          <a:endParaRPr lang="en-US" sz="1100" b="0">
            <a:solidFill>
              <a:schemeClr val="dk1"/>
            </a:solidFill>
            <a:latin typeface="Arial Black" panose="020B0A04020102020204" pitchFamily="34" charset="0"/>
            <a:ea typeface="+mn-ea"/>
            <a:cs typeface="+mn-cs"/>
          </a:endParaRPr>
        </a:p>
        <a:p>
          <a:r>
            <a:rPr lang="en-US" sz="1100" b="0">
              <a:solidFill>
                <a:schemeClr val="dk1"/>
              </a:solidFill>
              <a:latin typeface="Arial Black" panose="020B0A04020102020204" pitchFamily="34" charset="0"/>
              <a:ea typeface="+mn-ea"/>
              <a:cs typeface="+mn-cs"/>
            </a:rPr>
            <a:t>• Highest rating = 9.8</a:t>
          </a:r>
        </a:p>
        <a:p>
          <a:endParaRPr lang="en-US" sz="1100" b="0">
            <a:solidFill>
              <a:schemeClr val="dk1"/>
            </a:solidFill>
            <a:latin typeface="Arial Black" panose="020B0A04020102020204" pitchFamily="34" charset="0"/>
            <a:ea typeface="+mn-ea"/>
            <a:cs typeface="+mn-cs"/>
          </a:endParaRPr>
        </a:p>
        <a:p>
          <a:r>
            <a:rPr lang="en-US" sz="1100" b="0">
              <a:solidFill>
                <a:schemeClr val="dk1"/>
              </a:solidFill>
              <a:latin typeface="Arial Black" panose="020B0A04020102020204" pitchFamily="34" charset="0"/>
              <a:ea typeface="+mn-ea"/>
              <a:cs typeface="+mn-cs"/>
            </a:rPr>
            <a:t>• Average rating = 8.2</a:t>
          </a:r>
        </a:p>
      </xdr:txBody>
    </xdr:sp>
    <xdr:clientData/>
  </xdr:twoCellAnchor>
  <xdr:twoCellAnchor>
    <xdr:from>
      <xdr:col>17</xdr:col>
      <xdr:colOff>310815</xdr:colOff>
      <xdr:row>49</xdr:row>
      <xdr:rowOff>25743</xdr:rowOff>
    </xdr:from>
    <xdr:to>
      <xdr:col>29</xdr:col>
      <xdr:colOff>38614</xdr:colOff>
      <xdr:row>64</xdr:row>
      <xdr:rowOff>120316</xdr:rowOff>
    </xdr:to>
    <xdr:sp macro="" textlink="">
      <xdr:nvSpPr>
        <xdr:cNvPr id="35" name="TextBox 34">
          <a:extLst>
            <a:ext uri="{FF2B5EF4-FFF2-40B4-BE49-F238E27FC236}">
              <a16:creationId xmlns:a16="http://schemas.microsoft.com/office/drawing/2014/main" id="{0438151B-7C43-44FC-995C-67E0A12A5220}"/>
            </a:ext>
          </a:extLst>
        </xdr:cNvPr>
        <xdr:cNvSpPr txBox="1"/>
      </xdr:nvSpPr>
      <xdr:spPr>
        <a:xfrm>
          <a:off x="10708104" y="9510638"/>
          <a:ext cx="7067063" cy="2952073"/>
        </a:xfrm>
        <a:prstGeom prst="rect">
          <a:avLst/>
        </a:prstGeom>
        <a:solidFill>
          <a:srgbClr val="CC33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latin typeface="+mn-lt"/>
              <a:ea typeface="+mn-ea"/>
              <a:cs typeface="+mn-cs"/>
            </a:rPr>
            <a:t>Dashboard Created By</a:t>
          </a:r>
        </a:p>
        <a:p>
          <a:endParaRPr lang="en-US" sz="1400" b="1">
            <a:solidFill>
              <a:schemeClr val="dk1"/>
            </a:solidFill>
            <a:latin typeface="+mn-lt"/>
            <a:ea typeface="+mn-ea"/>
            <a:cs typeface="+mn-cs"/>
          </a:endParaRPr>
        </a:p>
        <a:p>
          <a:r>
            <a:rPr lang="en-US" sz="1400" b="1">
              <a:solidFill>
                <a:schemeClr val="dk1"/>
              </a:solidFill>
              <a:latin typeface="+mn-lt"/>
              <a:ea typeface="+mn-ea"/>
              <a:cs typeface="+mn-cs"/>
            </a:rPr>
            <a:t>Kanishka Sapra</a:t>
          </a:r>
        </a:p>
        <a:p>
          <a:endParaRPr lang="en-US" sz="1400" b="1">
            <a:solidFill>
              <a:schemeClr val="dk1"/>
            </a:solidFill>
            <a:latin typeface="+mn-lt"/>
            <a:ea typeface="+mn-ea"/>
            <a:cs typeface="+mn-cs"/>
          </a:endParaRPr>
        </a:p>
        <a:p>
          <a:r>
            <a:rPr lang="en-US" sz="1400" b="1">
              <a:solidFill>
                <a:schemeClr val="dk1"/>
              </a:solidFill>
              <a:latin typeface="+mn-lt"/>
              <a:ea typeface="+mn-ea"/>
              <a:cs typeface="+mn-cs"/>
            </a:rPr>
            <a:t>Tools Used</a:t>
          </a:r>
        </a:p>
        <a:p>
          <a:endParaRPr lang="en-US" sz="1400" b="1">
            <a:solidFill>
              <a:schemeClr val="dk1"/>
            </a:solidFill>
            <a:latin typeface="+mn-lt"/>
            <a:ea typeface="+mn-ea"/>
            <a:cs typeface="+mn-cs"/>
          </a:endParaRPr>
        </a:p>
        <a:p>
          <a:r>
            <a:rPr lang="en-US" sz="1400" b="1">
              <a:solidFill>
                <a:schemeClr val="dk1"/>
              </a:solidFill>
              <a:latin typeface="+mn-lt"/>
              <a:ea typeface="+mn-ea"/>
              <a:cs typeface="+mn-cs"/>
            </a:rPr>
            <a:t>• Microsoft Excel</a:t>
          </a:r>
        </a:p>
        <a:p>
          <a:r>
            <a:rPr lang="en-US" sz="1400" b="1">
              <a:solidFill>
                <a:schemeClr val="dk1"/>
              </a:solidFill>
              <a:latin typeface="+mn-lt"/>
              <a:ea typeface="+mn-ea"/>
              <a:cs typeface="+mn-cs"/>
            </a:rPr>
            <a:t>• Pivot Tables</a:t>
          </a:r>
        </a:p>
        <a:p>
          <a:r>
            <a:rPr lang="en-US" sz="1400" b="1">
              <a:solidFill>
                <a:schemeClr val="dk1"/>
              </a:solidFill>
              <a:latin typeface="+mn-lt"/>
              <a:ea typeface="+mn-ea"/>
              <a:cs typeface="+mn-cs"/>
            </a:rPr>
            <a:t>• Pivot Charts</a:t>
          </a:r>
        </a:p>
        <a:p>
          <a:r>
            <a:rPr lang="en-US" sz="1400" b="1">
              <a:solidFill>
                <a:schemeClr val="dk1"/>
              </a:solidFill>
              <a:latin typeface="+mn-lt"/>
              <a:ea typeface="+mn-ea"/>
              <a:cs typeface="+mn-cs"/>
            </a:rPr>
            <a:t>• Slicers</a:t>
          </a:r>
        </a:p>
        <a:p>
          <a:endParaRPr lang="en-US" sz="1400" b="1">
            <a:solidFill>
              <a:schemeClr val="dk1"/>
            </a:solidFill>
            <a:latin typeface="+mn-lt"/>
            <a:ea typeface="+mn-ea"/>
            <a:cs typeface="+mn-cs"/>
          </a:endParaRPr>
        </a:p>
        <a:p>
          <a:r>
            <a:rPr lang="en-US" sz="1400" b="1">
              <a:solidFill>
                <a:schemeClr val="dk1"/>
              </a:solidFill>
              <a:latin typeface="+mn-lt"/>
              <a:ea typeface="+mn-ea"/>
              <a:cs typeface="+mn-cs"/>
            </a:rPr>
            <a:t>Project Type</a:t>
          </a:r>
        </a:p>
        <a:p>
          <a:r>
            <a:rPr lang="en-US" sz="1400" b="1">
              <a:solidFill>
                <a:schemeClr val="dk1"/>
              </a:solidFill>
              <a:latin typeface="+mn-lt"/>
              <a:ea typeface="+mn-ea"/>
              <a:cs typeface="+mn-cs"/>
            </a:rPr>
            <a:t>Interactive Excel Dashboard</a:t>
          </a:r>
        </a:p>
      </xdr:txBody>
    </xdr:sp>
    <xdr:clientData/>
  </xdr:twoCellAnchor>
  <xdr:twoCellAnchor editAs="oneCell">
    <xdr:from>
      <xdr:col>9</xdr:col>
      <xdr:colOff>60159</xdr:colOff>
      <xdr:row>49</xdr:row>
      <xdr:rowOff>130342</xdr:rowOff>
    </xdr:from>
    <xdr:to>
      <xdr:col>16</xdr:col>
      <xdr:colOff>521369</xdr:colOff>
      <xdr:row>62</xdr:row>
      <xdr:rowOff>140368</xdr:rowOff>
    </xdr:to>
    <xdr:pic>
      <xdr:nvPicPr>
        <xdr:cNvPr id="37" name="Picture 36">
          <a:extLst>
            <a:ext uri="{FF2B5EF4-FFF2-40B4-BE49-F238E27FC236}">
              <a16:creationId xmlns:a16="http://schemas.microsoft.com/office/drawing/2014/main" id="{CA0118E0-5EF2-4592-BA4D-A3A6694B27A8}"/>
            </a:ext>
          </a:extLst>
        </xdr:cNvPr>
        <xdr:cNvPicPr>
          <a:picLocks noChangeAspect="1"/>
        </xdr:cNvPicPr>
      </xdr:nvPicPr>
      <xdr:blipFill>
        <a:blip xmlns:r="http://schemas.openxmlformats.org/officeDocument/2006/relationships" r:embed="rId6"/>
        <a:stretch>
          <a:fillRect/>
        </a:stretch>
      </xdr:blipFill>
      <xdr:spPr>
        <a:xfrm>
          <a:off x="5564606" y="9615237"/>
          <a:ext cx="4742447" cy="24865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9.484410069446" createdVersion="7" refreshedVersion="7" minRefreshableVersion="3" recordCount="200" xr:uid="{1F353A4E-E378-443E-87E8-77E9CF7B449E}">
  <cacheSource type="worksheet">
    <worksheetSource name="Table2"/>
  </cacheSource>
  <cacheFields count="11">
    <cacheField name="Series ID" numFmtId="0">
      <sharedItems/>
    </cacheField>
    <cacheField name="Series Name" numFmtId="0">
      <sharedItems/>
    </cacheField>
    <cacheField name="Genre" numFmtId="0">
      <sharedItems count="10">
        <s v="Mystery"/>
        <s v="Action"/>
        <s v="Drama"/>
        <s v="Fantasy"/>
        <s v="Romance"/>
        <s v="Horror"/>
        <s v="Comedy"/>
        <s v="Thriller"/>
        <s v="Crime"/>
        <s v="Sci-Fi"/>
      </sharedItems>
    </cacheField>
    <cacheField name="Language" numFmtId="0">
      <sharedItems count="6">
        <s v="French"/>
        <s v="English"/>
        <s v="Hindi"/>
        <s v="Korean"/>
        <s v="Spanish"/>
        <s v="German"/>
      </sharedItems>
    </cacheField>
    <cacheField name="Release Year" numFmtId="0">
      <sharedItems containsSemiMixedTypes="0" containsString="0" containsNumber="1" containsInteger="1" minValue="2015" maxValue="2025"/>
    </cacheField>
    <cacheField name="Seasons" numFmtId="0">
      <sharedItems containsSemiMixedTypes="0" containsString="0" containsNumber="1" containsInteger="1" minValue="1" maxValue="8"/>
    </cacheField>
    <cacheField name="Status" numFmtId="0">
      <sharedItems count="3">
        <s v="Watching"/>
        <s v="Completed"/>
        <s v="Plan to Watch"/>
      </sharedItems>
    </cacheField>
    <cacheField name="Rating" numFmtId="0">
      <sharedItems containsSemiMixedTypes="0" containsString="0" containsNumber="1" minValue="6.5" maxValue="9.8000000000000007"/>
    </cacheField>
    <cacheField name="Watch Hours" numFmtId="0">
      <sharedItems containsSemiMixedTypes="0" containsString="0" containsNumber="1" minValue="8.1999999999999993" maxValue="59.7"/>
    </cacheField>
    <cacheField name="Month Watched" numFmtId="0">
      <sharedItems count="12">
        <s v="June"/>
        <s v="December"/>
        <s v="September"/>
        <s v="October"/>
        <s v="August"/>
        <s v="February"/>
        <s v="January"/>
        <s v="April"/>
        <s v="July"/>
        <s v="November"/>
        <s v="March"/>
        <s v="May"/>
      </sharedItems>
    </cacheField>
    <cacheField name="Country" numFmtId="0">
      <sharedItems/>
    </cacheField>
  </cacheFields>
  <extLst>
    <ext xmlns:x14="http://schemas.microsoft.com/office/spreadsheetml/2009/9/main" uri="{725AE2AE-9491-48be-B2B4-4EB974FC3084}">
      <x14:pivotCacheDefinition pivotCacheId="7378535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07640856478" createdVersion="7" refreshedVersion="7" minRefreshableVersion="3" recordCount="200" xr:uid="{0D0CDE8B-ECC6-41A8-81A7-3F6642837F53}">
  <cacheSource type="worksheet">
    <worksheetSource ref="A1:J201" sheet="Netflix_Data"/>
  </cacheSource>
  <cacheFields count="10">
    <cacheField name="Series ID" numFmtId="0">
      <sharedItems/>
    </cacheField>
    <cacheField name="Series Name" numFmtId="0">
      <sharedItems count="42">
        <s v="Money Heist"/>
        <s v="Peaky Blinders"/>
        <s v="Shadow and Bone"/>
        <s v="The Sandman"/>
        <s v="Emily in Paris"/>
        <s v="Cobra Kai"/>
        <s v="Heartstopper"/>
        <s v="Never Have I Ever"/>
        <s v="The Queen's Gambit"/>
        <s v="Manifest"/>
        <s v="Squid Game"/>
        <s v="Bridgerton"/>
        <s v="Outer Banks"/>
        <s v="Delhi Crime"/>
        <s v="One Piece"/>
        <s v="The Lincoln Lawyer"/>
        <s v="You"/>
        <s v="The Glory"/>
        <s v="Sweet Home"/>
        <s v="1899"/>
        <s v="Baby Reindeer"/>
        <s v="The Diplomat"/>
        <s v="Breaking Bad"/>
        <s v="The Witcher"/>
        <s v="Sex Education"/>
        <s v="Lucifer"/>
        <s v="Lupin"/>
        <s v="Ozark"/>
        <s v="Locke &amp; Key"/>
        <s v="Sacred Games"/>
        <s v="Elite"/>
        <s v="Ginny &amp; Georgia"/>
        <s v="Black Mirror"/>
        <s v="Alice in Borderland"/>
        <s v="Dark"/>
        <s v="All of Us Are Dead"/>
        <s v="Wednesday"/>
        <s v="The Crown"/>
        <s v="The Umbrella Academy"/>
        <s v="Vikings Valhalla"/>
        <s v="Better Call Saul"/>
        <s v="Stranger Things"/>
      </sharedItems>
    </cacheField>
    <cacheField name="Genre" numFmtId="0">
      <sharedItems/>
    </cacheField>
    <cacheField name="Language" numFmtId="0">
      <sharedItems/>
    </cacheField>
    <cacheField name="Release Year" numFmtId="0">
      <sharedItems containsSemiMixedTypes="0" containsString="0" containsNumber="1" containsInteger="1" minValue="2015" maxValue="2025"/>
    </cacheField>
    <cacheField name="Seasons" numFmtId="0">
      <sharedItems containsSemiMixedTypes="0" containsString="0" containsNumber="1" containsInteger="1" minValue="1" maxValue="8"/>
    </cacheField>
    <cacheField name="Status" numFmtId="0">
      <sharedItems/>
    </cacheField>
    <cacheField name="Rating" numFmtId="0">
      <sharedItems containsSemiMixedTypes="0" containsString="0" containsNumber="1" minValue="6.5" maxValue="9.8000000000000007" count="34">
        <n v="6.8"/>
        <n v="8.1"/>
        <n v="7.1"/>
        <n v="9.1999999999999993"/>
        <n v="6.6"/>
        <n v="7.6"/>
        <n v="9"/>
        <n v="7.8"/>
        <n v="9.6999999999999993"/>
        <n v="8.6999999999999993"/>
        <n v="6.7"/>
        <n v="7.3"/>
        <n v="9.3000000000000007"/>
        <n v="8.6"/>
        <n v="8.4"/>
        <n v="8.8000000000000007"/>
        <n v="8.9"/>
        <n v="9.5"/>
        <n v="6.9"/>
        <n v="9.1"/>
        <n v="7.2"/>
        <n v="7"/>
        <n v="7.4"/>
        <n v="7.9"/>
        <n v="8"/>
        <n v="8.1999999999999993"/>
        <n v="8.5"/>
        <n v="8.3000000000000007"/>
        <n v="9.6"/>
        <n v="9.8000000000000007"/>
        <n v="9.4"/>
        <n v="7.7"/>
        <n v="6.5"/>
        <n v="7.5"/>
      </sharedItems>
    </cacheField>
    <cacheField name="Watch Hours" numFmtId="0">
      <sharedItems containsSemiMixedTypes="0" containsString="0" containsNumber="1" minValue="8.1999999999999993" maxValue="59.7"/>
    </cacheField>
    <cacheField name="Month Watche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22604282407" createdVersion="7" refreshedVersion="7" minRefreshableVersion="3" recordCount="200" xr:uid="{268ACADB-2BEF-4162-9B75-EEEE5D85F13D}">
  <cacheSource type="worksheet">
    <worksheetSource name="Table2[[Genre]:[Watch Hours]]"/>
  </cacheSource>
  <cacheFields count="7">
    <cacheField name="Genre" numFmtId="0">
      <sharedItems count="10">
        <s v="Mystery"/>
        <s v="Action"/>
        <s v="Drama"/>
        <s v="Fantasy"/>
        <s v="Romance"/>
        <s v="Horror"/>
        <s v="Comedy"/>
        <s v="Thriller"/>
        <s v="Crime"/>
        <s v="Sci-Fi"/>
      </sharedItems>
    </cacheField>
    <cacheField name="Language" numFmtId="0">
      <sharedItems/>
    </cacheField>
    <cacheField name="Release Year" numFmtId="0">
      <sharedItems containsSemiMixedTypes="0" containsString="0" containsNumber="1" containsInteger="1" minValue="2015" maxValue="2025"/>
    </cacheField>
    <cacheField name="Seasons" numFmtId="0">
      <sharedItems containsSemiMixedTypes="0" containsString="0" containsNumber="1" containsInteger="1" minValue="1" maxValue="8"/>
    </cacheField>
    <cacheField name="Status" numFmtId="0">
      <sharedItems/>
    </cacheField>
    <cacheField name="Rating" numFmtId="0">
      <sharedItems containsSemiMixedTypes="0" containsString="0" containsNumber="1" minValue="6.5" maxValue="9.8000000000000007"/>
    </cacheField>
    <cacheField name="Watch Hours" numFmtId="0">
      <sharedItems containsSemiMixedTypes="0" containsString="0" containsNumber="1" minValue="8.1999999999999993" maxValue="5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N001"/>
    <s v="Money Heist"/>
    <x v="0"/>
    <x v="0"/>
    <n v="2022"/>
    <n v="4"/>
    <x v="0"/>
    <n v="6.8"/>
    <n v="56.5"/>
    <x v="0"/>
    <s v="India"/>
  </r>
  <r>
    <s v="N002"/>
    <s v="Peaky Blinders"/>
    <x v="1"/>
    <x v="1"/>
    <n v="2018"/>
    <n v="2"/>
    <x v="0"/>
    <n v="8.1"/>
    <n v="15.7"/>
    <x v="1"/>
    <s v="Germany"/>
  </r>
  <r>
    <s v="N003"/>
    <s v="Shadow and Bone"/>
    <x v="2"/>
    <x v="2"/>
    <n v="2018"/>
    <n v="2"/>
    <x v="1"/>
    <n v="6.8"/>
    <n v="37.700000000000003"/>
    <x v="2"/>
    <s v="USA"/>
  </r>
  <r>
    <s v="N004"/>
    <s v="The Sandman"/>
    <x v="3"/>
    <x v="0"/>
    <n v="2021"/>
    <n v="2"/>
    <x v="1"/>
    <n v="7.1"/>
    <n v="11.4"/>
    <x v="3"/>
    <s v="South Korea"/>
  </r>
  <r>
    <s v="N005"/>
    <s v="Emily in Paris"/>
    <x v="2"/>
    <x v="0"/>
    <n v="2019"/>
    <n v="6"/>
    <x v="1"/>
    <n v="9.1999999999999993"/>
    <n v="17.5"/>
    <x v="3"/>
    <s v="India"/>
  </r>
  <r>
    <s v="N006"/>
    <s v="Cobra Kai"/>
    <x v="4"/>
    <x v="0"/>
    <n v="2020"/>
    <n v="4"/>
    <x v="0"/>
    <n v="6.8"/>
    <n v="28.3"/>
    <x v="4"/>
    <s v="Spain"/>
  </r>
  <r>
    <s v="N007"/>
    <s v="Heartstopper"/>
    <x v="5"/>
    <x v="0"/>
    <n v="2015"/>
    <n v="2"/>
    <x v="1"/>
    <n v="8.1"/>
    <n v="29"/>
    <x v="5"/>
    <s v="Spain"/>
  </r>
  <r>
    <s v="N008"/>
    <s v="Never Have I Ever"/>
    <x v="6"/>
    <x v="0"/>
    <n v="2025"/>
    <n v="1"/>
    <x v="0"/>
    <n v="6.6"/>
    <n v="13.7"/>
    <x v="0"/>
    <s v="India"/>
  </r>
  <r>
    <s v="N009"/>
    <s v="The Queen's Gambit"/>
    <x v="0"/>
    <x v="3"/>
    <n v="2016"/>
    <n v="4"/>
    <x v="0"/>
    <n v="7.6"/>
    <n v="22.3"/>
    <x v="0"/>
    <s v="Spain"/>
  </r>
  <r>
    <s v="N010"/>
    <s v="Manifest"/>
    <x v="0"/>
    <x v="2"/>
    <n v="2024"/>
    <n v="8"/>
    <x v="0"/>
    <n v="9"/>
    <n v="32.1"/>
    <x v="6"/>
    <s v="South Korea"/>
  </r>
  <r>
    <s v="N011"/>
    <s v="Squid Game"/>
    <x v="7"/>
    <x v="3"/>
    <n v="2023"/>
    <n v="1"/>
    <x v="1"/>
    <n v="7.8"/>
    <n v="35.4"/>
    <x v="7"/>
    <s v="UK"/>
  </r>
  <r>
    <s v="N012"/>
    <s v="Bridgerton"/>
    <x v="6"/>
    <x v="2"/>
    <n v="2016"/>
    <n v="8"/>
    <x v="1"/>
    <n v="7.8"/>
    <n v="45.4"/>
    <x v="6"/>
    <s v="UK"/>
  </r>
  <r>
    <s v="N013"/>
    <s v="Outer Banks"/>
    <x v="5"/>
    <x v="1"/>
    <n v="2020"/>
    <n v="8"/>
    <x v="0"/>
    <n v="9.6999999999999993"/>
    <n v="48.1"/>
    <x v="8"/>
    <s v="UK"/>
  </r>
  <r>
    <s v="N014"/>
    <s v="Delhi Crime"/>
    <x v="4"/>
    <x v="3"/>
    <n v="2016"/>
    <n v="5"/>
    <x v="1"/>
    <n v="8.6999999999999993"/>
    <n v="53"/>
    <x v="0"/>
    <s v="France"/>
  </r>
  <r>
    <s v="N015"/>
    <s v="One Piece"/>
    <x v="1"/>
    <x v="2"/>
    <n v="2023"/>
    <n v="5"/>
    <x v="2"/>
    <n v="6.7"/>
    <n v="59.3"/>
    <x v="9"/>
    <s v="Germany"/>
  </r>
  <r>
    <s v="N016"/>
    <s v="Manifest"/>
    <x v="8"/>
    <x v="1"/>
    <n v="2025"/>
    <n v="8"/>
    <x v="1"/>
    <n v="7.3"/>
    <n v="53.3"/>
    <x v="2"/>
    <s v="USA"/>
  </r>
  <r>
    <s v="N017"/>
    <s v="The Sandman"/>
    <x v="1"/>
    <x v="4"/>
    <n v="2017"/>
    <n v="6"/>
    <x v="1"/>
    <n v="9.3000000000000007"/>
    <n v="24.4"/>
    <x v="10"/>
    <s v="USA"/>
  </r>
  <r>
    <s v="N018"/>
    <s v="Money Heist"/>
    <x v="8"/>
    <x v="3"/>
    <n v="2022"/>
    <n v="8"/>
    <x v="1"/>
    <n v="8.6"/>
    <n v="19.399999999999999"/>
    <x v="8"/>
    <s v="USA"/>
  </r>
  <r>
    <s v="N019"/>
    <s v="Shadow and Bone"/>
    <x v="7"/>
    <x v="2"/>
    <n v="2025"/>
    <n v="1"/>
    <x v="0"/>
    <n v="8.4"/>
    <n v="35.799999999999997"/>
    <x v="1"/>
    <s v="India"/>
  </r>
  <r>
    <s v="N020"/>
    <s v="The Lincoln Lawyer"/>
    <x v="2"/>
    <x v="4"/>
    <n v="2025"/>
    <n v="8"/>
    <x v="0"/>
    <n v="8.8000000000000007"/>
    <n v="46.8"/>
    <x v="11"/>
    <s v="UK"/>
  </r>
  <r>
    <s v="N021"/>
    <s v="You"/>
    <x v="6"/>
    <x v="0"/>
    <n v="2022"/>
    <n v="4"/>
    <x v="1"/>
    <n v="8.9"/>
    <n v="40.700000000000003"/>
    <x v="9"/>
    <s v="South Korea"/>
  </r>
  <r>
    <s v="N022"/>
    <s v="The Glory"/>
    <x v="6"/>
    <x v="0"/>
    <n v="2023"/>
    <n v="3"/>
    <x v="1"/>
    <n v="9.5"/>
    <n v="42"/>
    <x v="6"/>
    <s v="South Korea"/>
  </r>
  <r>
    <s v="N023"/>
    <s v="Sweet Home"/>
    <x v="6"/>
    <x v="2"/>
    <n v="2016"/>
    <n v="2"/>
    <x v="1"/>
    <n v="9.1999999999999993"/>
    <n v="59.1"/>
    <x v="7"/>
    <s v="USA"/>
  </r>
  <r>
    <s v="N024"/>
    <s v="Outer Banks"/>
    <x v="8"/>
    <x v="3"/>
    <n v="2020"/>
    <n v="1"/>
    <x v="0"/>
    <n v="6.9"/>
    <n v="40.1"/>
    <x v="9"/>
    <s v="India"/>
  </r>
  <r>
    <s v="N025"/>
    <s v="1899"/>
    <x v="3"/>
    <x v="0"/>
    <n v="2017"/>
    <n v="4"/>
    <x v="1"/>
    <n v="8.9"/>
    <n v="22.2"/>
    <x v="7"/>
    <s v="USA"/>
  </r>
  <r>
    <s v="N026"/>
    <s v="Baby Reindeer"/>
    <x v="1"/>
    <x v="2"/>
    <n v="2024"/>
    <n v="3"/>
    <x v="1"/>
    <n v="9.3000000000000007"/>
    <n v="49.8"/>
    <x v="0"/>
    <s v="UK"/>
  </r>
  <r>
    <s v="N027"/>
    <s v="Baby Reindeer"/>
    <x v="8"/>
    <x v="4"/>
    <n v="2017"/>
    <n v="6"/>
    <x v="1"/>
    <n v="9.6999999999999993"/>
    <n v="35.799999999999997"/>
    <x v="10"/>
    <s v="USA"/>
  </r>
  <r>
    <s v="N028"/>
    <s v="The Diplomat"/>
    <x v="1"/>
    <x v="0"/>
    <n v="2021"/>
    <n v="6"/>
    <x v="1"/>
    <n v="9"/>
    <n v="13.8"/>
    <x v="6"/>
    <s v="South Korea"/>
  </r>
  <r>
    <s v="N029"/>
    <s v="Breaking Bad"/>
    <x v="4"/>
    <x v="5"/>
    <n v="2018"/>
    <n v="2"/>
    <x v="0"/>
    <n v="9.1"/>
    <n v="45.3"/>
    <x v="9"/>
    <s v="France"/>
  </r>
  <r>
    <s v="N030"/>
    <s v="You"/>
    <x v="8"/>
    <x v="5"/>
    <n v="2015"/>
    <n v="5"/>
    <x v="1"/>
    <n v="8.9"/>
    <n v="29.7"/>
    <x v="5"/>
    <s v="USA"/>
  </r>
  <r>
    <s v="N031"/>
    <s v="You"/>
    <x v="2"/>
    <x v="0"/>
    <n v="2023"/>
    <n v="6"/>
    <x v="0"/>
    <n v="9.6999999999999993"/>
    <n v="26.7"/>
    <x v="6"/>
    <s v="UK"/>
  </r>
  <r>
    <s v="N032"/>
    <s v="The Diplomat"/>
    <x v="8"/>
    <x v="4"/>
    <n v="2016"/>
    <n v="5"/>
    <x v="0"/>
    <n v="7.8"/>
    <n v="57.1"/>
    <x v="10"/>
    <s v="France"/>
  </r>
  <r>
    <s v="N033"/>
    <s v="The Witcher"/>
    <x v="0"/>
    <x v="3"/>
    <n v="2023"/>
    <n v="3"/>
    <x v="1"/>
    <n v="7.2"/>
    <n v="56.7"/>
    <x v="1"/>
    <s v="South Korea"/>
  </r>
  <r>
    <s v="N034"/>
    <s v="Sex Education"/>
    <x v="2"/>
    <x v="3"/>
    <n v="2021"/>
    <n v="1"/>
    <x v="0"/>
    <n v="7"/>
    <n v="53.3"/>
    <x v="7"/>
    <s v="India"/>
  </r>
  <r>
    <s v="N035"/>
    <s v="Lucifer"/>
    <x v="5"/>
    <x v="3"/>
    <n v="2021"/>
    <n v="3"/>
    <x v="0"/>
    <n v="6.8"/>
    <n v="53.4"/>
    <x v="4"/>
    <s v="France"/>
  </r>
  <r>
    <s v="N036"/>
    <s v="One Piece"/>
    <x v="8"/>
    <x v="3"/>
    <n v="2023"/>
    <n v="3"/>
    <x v="2"/>
    <n v="7.4"/>
    <n v="15.3"/>
    <x v="3"/>
    <s v="South Korea"/>
  </r>
  <r>
    <s v="N037"/>
    <s v="Squid Game"/>
    <x v="4"/>
    <x v="2"/>
    <n v="2020"/>
    <n v="7"/>
    <x v="1"/>
    <n v="9.5"/>
    <n v="56.5"/>
    <x v="2"/>
    <s v="India"/>
  </r>
  <r>
    <s v="N038"/>
    <s v="Lupin"/>
    <x v="4"/>
    <x v="2"/>
    <n v="2015"/>
    <n v="7"/>
    <x v="1"/>
    <n v="7.9"/>
    <n v="58.1"/>
    <x v="9"/>
    <s v="France"/>
  </r>
  <r>
    <s v="N039"/>
    <s v="Ozark"/>
    <x v="9"/>
    <x v="1"/>
    <n v="2021"/>
    <n v="3"/>
    <x v="1"/>
    <n v="8.6999999999999993"/>
    <n v="55.6"/>
    <x v="6"/>
    <s v="South Korea"/>
  </r>
  <r>
    <s v="N040"/>
    <s v="You"/>
    <x v="6"/>
    <x v="5"/>
    <n v="2017"/>
    <n v="2"/>
    <x v="0"/>
    <n v="9.1"/>
    <n v="12.7"/>
    <x v="5"/>
    <s v="Germany"/>
  </r>
  <r>
    <s v="N041"/>
    <s v="Ozark"/>
    <x v="3"/>
    <x v="0"/>
    <n v="2019"/>
    <n v="4"/>
    <x v="1"/>
    <n v="8"/>
    <n v="48.7"/>
    <x v="4"/>
    <s v="South Korea"/>
  </r>
  <r>
    <s v="N042"/>
    <s v="Peaky Blinders"/>
    <x v="3"/>
    <x v="1"/>
    <n v="2020"/>
    <n v="6"/>
    <x v="1"/>
    <n v="8.1999999999999993"/>
    <n v="18.100000000000001"/>
    <x v="2"/>
    <s v="South Korea"/>
  </r>
  <r>
    <s v="N043"/>
    <s v="Ozark"/>
    <x v="3"/>
    <x v="1"/>
    <n v="2016"/>
    <n v="5"/>
    <x v="2"/>
    <n v="8.5"/>
    <n v="54.2"/>
    <x v="0"/>
    <s v="France"/>
  </r>
  <r>
    <s v="N044"/>
    <s v="Locke &amp; Key"/>
    <x v="4"/>
    <x v="5"/>
    <n v="2025"/>
    <n v="6"/>
    <x v="1"/>
    <n v="9.5"/>
    <n v="23.3"/>
    <x v="5"/>
    <s v="South Korea"/>
  </r>
  <r>
    <s v="N045"/>
    <s v="The Sandman"/>
    <x v="5"/>
    <x v="4"/>
    <n v="2019"/>
    <n v="6"/>
    <x v="0"/>
    <n v="8.3000000000000007"/>
    <n v="36.4"/>
    <x v="7"/>
    <s v="France"/>
  </r>
  <r>
    <s v="N046"/>
    <s v="Sacred Games"/>
    <x v="3"/>
    <x v="4"/>
    <n v="2021"/>
    <n v="1"/>
    <x v="0"/>
    <n v="8.1999999999999993"/>
    <n v="37.6"/>
    <x v="4"/>
    <s v="France"/>
  </r>
  <r>
    <s v="N047"/>
    <s v="Baby Reindeer"/>
    <x v="6"/>
    <x v="0"/>
    <n v="2017"/>
    <n v="1"/>
    <x v="0"/>
    <n v="8.1999999999999993"/>
    <n v="28.3"/>
    <x v="7"/>
    <s v="UK"/>
  </r>
  <r>
    <s v="N048"/>
    <s v="Elite"/>
    <x v="6"/>
    <x v="4"/>
    <n v="2025"/>
    <n v="4"/>
    <x v="1"/>
    <n v="7"/>
    <n v="45"/>
    <x v="4"/>
    <s v="Spain"/>
  </r>
  <r>
    <s v="N049"/>
    <s v="The Glory"/>
    <x v="5"/>
    <x v="4"/>
    <n v="2021"/>
    <n v="7"/>
    <x v="1"/>
    <n v="9.3000000000000007"/>
    <n v="16.8"/>
    <x v="0"/>
    <s v="France"/>
  </r>
  <r>
    <s v="N050"/>
    <s v="Ginny &amp; Georgia"/>
    <x v="0"/>
    <x v="1"/>
    <n v="2017"/>
    <n v="7"/>
    <x v="1"/>
    <n v="8.8000000000000007"/>
    <n v="9.6"/>
    <x v="6"/>
    <s v="South Korea"/>
  </r>
  <r>
    <s v="N051"/>
    <s v="Never Have I Ever"/>
    <x v="6"/>
    <x v="3"/>
    <n v="2020"/>
    <n v="8"/>
    <x v="1"/>
    <n v="6.6"/>
    <n v="26.1"/>
    <x v="11"/>
    <s v="UK"/>
  </r>
  <r>
    <s v="N052"/>
    <s v="Black Mirror"/>
    <x v="6"/>
    <x v="5"/>
    <n v="2017"/>
    <n v="8"/>
    <x v="0"/>
    <n v="9.5"/>
    <n v="59.3"/>
    <x v="6"/>
    <s v="UK"/>
  </r>
  <r>
    <s v="N053"/>
    <s v="Baby Reindeer"/>
    <x v="3"/>
    <x v="5"/>
    <n v="2021"/>
    <n v="7"/>
    <x v="0"/>
    <n v="9.1"/>
    <n v="34.1"/>
    <x v="1"/>
    <s v="Spain"/>
  </r>
  <r>
    <s v="N054"/>
    <s v="Heartstopper"/>
    <x v="7"/>
    <x v="4"/>
    <n v="2025"/>
    <n v="6"/>
    <x v="1"/>
    <n v="6.8"/>
    <n v="55.4"/>
    <x v="11"/>
    <s v="Spain"/>
  </r>
  <r>
    <s v="N055"/>
    <s v="Black Mirror"/>
    <x v="7"/>
    <x v="3"/>
    <n v="2025"/>
    <n v="4"/>
    <x v="2"/>
    <n v="8.8000000000000007"/>
    <n v="23.3"/>
    <x v="0"/>
    <s v="Spain"/>
  </r>
  <r>
    <s v="N056"/>
    <s v="Lupin"/>
    <x v="8"/>
    <x v="4"/>
    <n v="2021"/>
    <n v="4"/>
    <x v="1"/>
    <n v="7.9"/>
    <n v="53.3"/>
    <x v="1"/>
    <s v="USA"/>
  </r>
  <r>
    <s v="N057"/>
    <s v="The Diplomat"/>
    <x v="8"/>
    <x v="3"/>
    <n v="2019"/>
    <n v="7"/>
    <x v="1"/>
    <n v="7.8"/>
    <n v="25"/>
    <x v="2"/>
    <s v="USA"/>
  </r>
  <r>
    <s v="N058"/>
    <s v="Delhi Crime"/>
    <x v="7"/>
    <x v="4"/>
    <n v="2020"/>
    <n v="6"/>
    <x v="2"/>
    <n v="9.6999999999999993"/>
    <n v="13.4"/>
    <x v="2"/>
    <s v="UK"/>
  </r>
  <r>
    <s v="N059"/>
    <s v="One Piece"/>
    <x v="6"/>
    <x v="1"/>
    <n v="2020"/>
    <n v="4"/>
    <x v="0"/>
    <n v="8.3000000000000007"/>
    <n v="28.3"/>
    <x v="3"/>
    <s v="India"/>
  </r>
  <r>
    <s v="N060"/>
    <s v="The Sandman"/>
    <x v="0"/>
    <x v="0"/>
    <n v="2023"/>
    <n v="3"/>
    <x v="1"/>
    <n v="6.8"/>
    <n v="22.1"/>
    <x v="8"/>
    <s v="Germany"/>
  </r>
  <r>
    <s v="N061"/>
    <s v="Manifest"/>
    <x v="9"/>
    <x v="1"/>
    <n v="2016"/>
    <n v="7"/>
    <x v="0"/>
    <n v="8.1"/>
    <n v="46.2"/>
    <x v="5"/>
    <s v="Spain"/>
  </r>
  <r>
    <s v="N062"/>
    <s v="Sweet Home"/>
    <x v="2"/>
    <x v="1"/>
    <n v="2021"/>
    <n v="4"/>
    <x v="1"/>
    <n v="8.6999999999999993"/>
    <n v="16.100000000000001"/>
    <x v="10"/>
    <s v="UK"/>
  </r>
  <r>
    <s v="N063"/>
    <s v="The Sandman"/>
    <x v="1"/>
    <x v="4"/>
    <n v="2018"/>
    <n v="5"/>
    <x v="2"/>
    <n v="7.8"/>
    <n v="51.1"/>
    <x v="0"/>
    <s v="South Korea"/>
  </r>
  <r>
    <s v="N064"/>
    <s v="Outer Banks"/>
    <x v="1"/>
    <x v="5"/>
    <n v="2015"/>
    <n v="6"/>
    <x v="1"/>
    <n v="9.6"/>
    <n v="34.299999999999997"/>
    <x v="2"/>
    <s v="South Korea"/>
  </r>
  <r>
    <s v="N065"/>
    <s v="Alice in Borderland"/>
    <x v="5"/>
    <x v="4"/>
    <n v="2021"/>
    <n v="3"/>
    <x v="1"/>
    <n v="9.5"/>
    <n v="35.5"/>
    <x v="3"/>
    <s v="India"/>
  </r>
  <r>
    <s v="N066"/>
    <s v="Dark"/>
    <x v="2"/>
    <x v="4"/>
    <n v="2024"/>
    <n v="6"/>
    <x v="2"/>
    <n v="7.2"/>
    <n v="11.8"/>
    <x v="4"/>
    <s v="South Korea"/>
  </r>
  <r>
    <s v="N067"/>
    <s v="The Witcher"/>
    <x v="5"/>
    <x v="3"/>
    <n v="2020"/>
    <n v="5"/>
    <x v="1"/>
    <n v="9.8000000000000007"/>
    <n v="56.8"/>
    <x v="1"/>
    <s v="USA"/>
  </r>
  <r>
    <s v="N068"/>
    <s v="Never Have I Ever"/>
    <x v="4"/>
    <x v="3"/>
    <n v="2020"/>
    <n v="1"/>
    <x v="1"/>
    <n v="6.8"/>
    <n v="19.100000000000001"/>
    <x v="3"/>
    <s v="Spain"/>
  </r>
  <r>
    <s v="N069"/>
    <s v="Baby Reindeer"/>
    <x v="1"/>
    <x v="1"/>
    <n v="2024"/>
    <n v="7"/>
    <x v="2"/>
    <n v="9.1999999999999993"/>
    <n v="50.4"/>
    <x v="6"/>
    <s v="USA"/>
  </r>
  <r>
    <s v="N070"/>
    <s v="The Sandman"/>
    <x v="3"/>
    <x v="0"/>
    <n v="2016"/>
    <n v="5"/>
    <x v="2"/>
    <n v="9.6999999999999993"/>
    <n v="23.8"/>
    <x v="5"/>
    <s v="France"/>
  </r>
  <r>
    <s v="N071"/>
    <s v="Delhi Crime"/>
    <x v="9"/>
    <x v="1"/>
    <n v="2016"/>
    <n v="2"/>
    <x v="0"/>
    <n v="8.6"/>
    <n v="49.4"/>
    <x v="10"/>
    <s v="UK"/>
  </r>
  <r>
    <s v="N072"/>
    <s v="Dark"/>
    <x v="2"/>
    <x v="1"/>
    <n v="2017"/>
    <n v="7"/>
    <x v="1"/>
    <n v="6.6"/>
    <n v="15.9"/>
    <x v="11"/>
    <s v="India"/>
  </r>
  <r>
    <s v="N073"/>
    <s v="All of Us Are Dead"/>
    <x v="4"/>
    <x v="5"/>
    <n v="2017"/>
    <n v="6"/>
    <x v="2"/>
    <n v="9.4"/>
    <n v="57.9"/>
    <x v="6"/>
    <s v="USA"/>
  </r>
  <r>
    <s v="N074"/>
    <s v="Emily in Paris"/>
    <x v="5"/>
    <x v="4"/>
    <n v="2022"/>
    <n v="7"/>
    <x v="1"/>
    <n v="8.8000000000000007"/>
    <n v="24"/>
    <x v="5"/>
    <s v="USA"/>
  </r>
  <r>
    <s v="N075"/>
    <s v="1899"/>
    <x v="3"/>
    <x v="2"/>
    <n v="2017"/>
    <n v="2"/>
    <x v="1"/>
    <n v="7.4"/>
    <n v="50.4"/>
    <x v="8"/>
    <s v="India"/>
  </r>
  <r>
    <s v="N076"/>
    <s v="Wednesday"/>
    <x v="0"/>
    <x v="3"/>
    <n v="2023"/>
    <n v="2"/>
    <x v="1"/>
    <n v="8.3000000000000007"/>
    <n v="9.1999999999999993"/>
    <x v="5"/>
    <s v="France"/>
  </r>
  <r>
    <s v="N077"/>
    <s v="Never Have I Ever"/>
    <x v="4"/>
    <x v="5"/>
    <n v="2017"/>
    <n v="3"/>
    <x v="1"/>
    <n v="9.1"/>
    <n v="9.4"/>
    <x v="11"/>
    <s v="South Korea"/>
  </r>
  <r>
    <s v="N078"/>
    <s v="Money Heist"/>
    <x v="2"/>
    <x v="5"/>
    <n v="2024"/>
    <n v="6"/>
    <x v="1"/>
    <n v="8.8000000000000007"/>
    <n v="59.2"/>
    <x v="1"/>
    <s v="UK"/>
  </r>
  <r>
    <s v="N079"/>
    <s v="Bridgerton"/>
    <x v="8"/>
    <x v="4"/>
    <n v="2024"/>
    <n v="2"/>
    <x v="1"/>
    <n v="8.6"/>
    <n v="37.299999999999997"/>
    <x v="8"/>
    <s v="India"/>
  </r>
  <r>
    <s v="N080"/>
    <s v="The Sandman"/>
    <x v="3"/>
    <x v="2"/>
    <n v="2016"/>
    <n v="1"/>
    <x v="1"/>
    <n v="9"/>
    <n v="40.6"/>
    <x v="8"/>
    <s v="South Korea"/>
  </r>
  <r>
    <s v="N081"/>
    <s v="Wednesday"/>
    <x v="2"/>
    <x v="5"/>
    <n v="2016"/>
    <n v="5"/>
    <x v="0"/>
    <n v="9.6999999999999993"/>
    <n v="20.100000000000001"/>
    <x v="3"/>
    <s v="France"/>
  </r>
  <r>
    <s v="N082"/>
    <s v="Black Mirror"/>
    <x v="4"/>
    <x v="3"/>
    <n v="2020"/>
    <n v="1"/>
    <x v="1"/>
    <n v="9.3000000000000007"/>
    <n v="58.3"/>
    <x v="6"/>
    <s v="France"/>
  </r>
  <r>
    <s v="N083"/>
    <s v="Money Heist"/>
    <x v="2"/>
    <x v="2"/>
    <n v="2020"/>
    <n v="1"/>
    <x v="0"/>
    <n v="7.9"/>
    <n v="57.7"/>
    <x v="5"/>
    <s v="UK"/>
  </r>
  <r>
    <s v="N084"/>
    <s v="Bridgerton"/>
    <x v="4"/>
    <x v="3"/>
    <n v="2015"/>
    <n v="8"/>
    <x v="0"/>
    <n v="6.8"/>
    <n v="39.9"/>
    <x v="10"/>
    <s v="Spain"/>
  </r>
  <r>
    <s v="N085"/>
    <s v="The Crown"/>
    <x v="4"/>
    <x v="2"/>
    <n v="2022"/>
    <n v="6"/>
    <x v="1"/>
    <n v="8.1999999999999993"/>
    <n v="16.3"/>
    <x v="7"/>
    <s v="USA"/>
  </r>
  <r>
    <s v="N086"/>
    <s v="Baby Reindeer"/>
    <x v="3"/>
    <x v="4"/>
    <n v="2017"/>
    <n v="8"/>
    <x v="2"/>
    <n v="8.6"/>
    <n v="23.2"/>
    <x v="10"/>
    <s v="France"/>
  </r>
  <r>
    <s v="N087"/>
    <s v="Outer Banks"/>
    <x v="1"/>
    <x v="0"/>
    <n v="2023"/>
    <n v="5"/>
    <x v="1"/>
    <n v="6.8"/>
    <n v="48.7"/>
    <x v="1"/>
    <s v="France"/>
  </r>
  <r>
    <s v="N088"/>
    <s v="Never Have I Ever"/>
    <x v="1"/>
    <x v="5"/>
    <n v="2015"/>
    <n v="4"/>
    <x v="1"/>
    <n v="6.8"/>
    <n v="59.4"/>
    <x v="10"/>
    <s v="South Korea"/>
  </r>
  <r>
    <s v="N089"/>
    <s v="Cobra Kai"/>
    <x v="0"/>
    <x v="4"/>
    <n v="2019"/>
    <n v="2"/>
    <x v="1"/>
    <n v="8"/>
    <n v="52.2"/>
    <x v="5"/>
    <s v="Germany"/>
  </r>
  <r>
    <s v="N090"/>
    <s v="Breaking Bad"/>
    <x v="9"/>
    <x v="2"/>
    <n v="2021"/>
    <n v="3"/>
    <x v="2"/>
    <n v="6.6"/>
    <n v="12.9"/>
    <x v="8"/>
    <s v="South Korea"/>
  </r>
  <r>
    <s v="N091"/>
    <s v="One Piece"/>
    <x v="8"/>
    <x v="5"/>
    <n v="2023"/>
    <n v="1"/>
    <x v="1"/>
    <n v="9.6"/>
    <n v="15.9"/>
    <x v="6"/>
    <s v="UK"/>
  </r>
  <r>
    <s v="N092"/>
    <s v="Ozark"/>
    <x v="0"/>
    <x v="1"/>
    <n v="2023"/>
    <n v="3"/>
    <x v="0"/>
    <n v="8.6999999999999993"/>
    <n v="18.100000000000001"/>
    <x v="11"/>
    <s v="Spain"/>
  </r>
  <r>
    <s v="N093"/>
    <s v="Manifest"/>
    <x v="1"/>
    <x v="4"/>
    <n v="2017"/>
    <n v="6"/>
    <x v="1"/>
    <n v="7.2"/>
    <n v="23.7"/>
    <x v="11"/>
    <s v="USA"/>
  </r>
  <r>
    <s v="N094"/>
    <s v="The Umbrella Academy"/>
    <x v="7"/>
    <x v="1"/>
    <n v="2016"/>
    <n v="1"/>
    <x v="0"/>
    <n v="7.6"/>
    <n v="29.3"/>
    <x v="4"/>
    <s v="France"/>
  </r>
  <r>
    <s v="N095"/>
    <s v="Ozark"/>
    <x v="9"/>
    <x v="5"/>
    <n v="2024"/>
    <n v="3"/>
    <x v="1"/>
    <n v="9"/>
    <n v="34.4"/>
    <x v="10"/>
    <s v="South Korea"/>
  </r>
  <r>
    <s v="N096"/>
    <s v="Baby Reindeer"/>
    <x v="9"/>
    <x v="3"/>
    <n v="2023"/>
    <n v="8"/>
    <x v="0"/>
    <n v="8.3000000000000007"/>
    <n v="43.3"/>
    <x v="3"/>
    <s v="Germany"/>
  </r>
  <r>
    <s v="N097"/>
    <s v="1899"/>
    <x v="6"/>
    <x v="0"/>
    <n v="2022"/>
    <n v="4"/>
    <x v="1"/>
    <n v="8.3000000000000007"/>
    <n v="43.7"/>
    <x v="8"/>
    <s v="USA"/>
  </r>
  <r>
    <s v="N098"/>
    <s v="All of Us Are Dead"/>
    <x v="4"/>
    <x v="5"/>
    <n v="2018"/>
    <n v="7"/>
    <x v="0"/>
    <n v="8.9"/>
    <n v="13.9"/>
    <x v="0"/>
    <s v="France"/>
  </r>
  <r>
    <s v="N099"/>
    <s v="Black Mirror"/>
    <x v="8"/>
    <x v="5"/>
    <n v="2017"/>
    <n v="7"/>
    <x v="0"/>
    <n v="7.2"/>
    <n v="29.4"/>
    <x v="9"/>
    <s v="Germany"/>
  </r>
  <r>
    <s v="N100"/>
    <s v="The Diplomat"/>
    <x v="1"/>
    <x v="0"/>
    <n v="2016"/>
    <n v="8"/>
    <x v="1"/>
    <n v="7.1"/>
    <n v="11.4"/>
    <x v="4"/>
    <s v="France"/>
  </r>
  <r>
    <s v="N101"/>
    <s v="The Crown"/>
    <x v="4"/>
    <x v="5"/>
    <n v="2016"/>
    <n v="8"/>
    <x v="1"/>
    <n v="9.1999999999999993"/>
    <n v="36.9"/>
    <x v="3"/>
    <s v="Germany"/>
  </r>
  <r>
    <s v="N102"/>
    <s v="Lucifer"/>
    <x v="2"/>
    <x v="5"/>
    <n v="2024"/>
    <n v="6"/>
    <x v="1"/>
    <n v="8.8000000000000007"/>
    <n v="51.4"/>
    <x v="8"/>
    <s v="USA"/>
  </r>
  <r>
    <s v="N103"/>
    <s v="Sex Education"/>
    <x v="3"/>
    <x v="0"/>
    <n v="2024"/>
    <n v="4"/>
    <x v="1"/>
    <n v="7.8"/>
    <n v="55.9"/>
    <x v="1"/>
    <s v="Germany"/>
  </r>
  <r>
    <s v="N104"/>
    <s v="Manifest"/>
    <x v="5"/>
    <x v="3"/>
    <n v="2017"/>
    <n v="2"/>
    <x v="1"/>
    <n v="8.8000000000000007"/>
    <n v="35.799999999999997"/>
    <x v="4"/>
    <s v="USA"/>
  </r>
  <r>
    <s v="N105"/>
    <s v="Emily in Paris"/>
    <x v="8"/>
    <x v="5"/>
    <n v="2017"/>
    <n v="2"/>
    <x v="0"/>
    <n v="7.1"/>
    <n v="17.899999999999999"/>
    <x v="4"/>
    <s v="Spain"/>
  </r>
  <r>
    <s v="N106"/>
    <s v="Wednesday"/>
    <x v="9"/>
    <x v="4"/>
    <n v="2020"/>
    <n v="8"/>
    <x v="1"/>
    <n v="7.7"/>
    <n v="59.5"/>
    <x v="0"/>
    <s v="Spain"/>
  </r>
  <r>
    <s v="N107"/>
    <s v="Peaky Blinders"/>
    <x v="3"/>
    <x v="4"/>
    <n v="2016"/>
    <n v="3"/>
    <x v="1"/>
    <n v="8.1999999999999993"/>
    <n v="14.3"/>
    <x v="8"/>
    <s v="UK"/>
  </r>
  <r>
    <s v="N108"/>
    <s v="Money Heist"/>
    <x v="0"/>
    <x v="4"/>
    <n v="2018"/>
    <n v="8"/>
    <x v="1"/>
    <n v="6.9"/>
    <n v="36.4"/>
    <x v="11"/>
    <s v="India"/>
  </r>
  <r>
    <s v="N109"/>
    <s v="Wednesday"/>
    <x v="7"/>
    <x v="5"/>
    <n v="2021"/>
    <n v="7"/>
    <x v="0"/>
    <n v="7.7"/>
    <n v="44.7"/>
    <x v="9"/>
    <s v="South Korea"/>
  </r>
  <r>
    <s v="N110"/>
    <s v="One Piece"/>
    <x v="3"/>
    <x v="3"/>
    <n v="2016"/>
    <n v="7"/>
    <x v="1"/>
    <n v="8.9"/>
    <n v="21.2"/>
    <x v="1"/>
    <s v="USA"/>
  </r>
  <r>
    <s v="N111"/>
    <s v="Manifest"/>
    <x v="7"/>
    <x v="3"/>
    <n v="2019"/>
    <n v="2"/>
    <x v="1"/>
    <n v="7.3"/>
    <n v="36"/>
    <x v="4"/>
    <s v="USA"/>
  </r>
  <r>
    <s v="N112"/>
    <s v="Cobra Kai"/>
    <x v="3"/>
    <x v="3"/>
    <n v="2022"/>
    <n v="2"/>
    <x v="1"/>
    <n v="9.5"/>
    <n v="21.1"/>
    <x v="1"/>
    <s v="Germany"/>
  </r>
  <r>
    <s v="N113"/>
    <s v="Squid Game"/>
    <x v="5"/>
    <x v="2"/>
    <n v="2017"/>
    <n v="5"/>
    <x v="2"/>
    <n v="7"/>
    <n v="50.7"/>
    <x v="1"/>
    <s v="France"/>
  </r>
  <r>
    <s v="N114"/>
    <s v="Sweet Home"/>
    <x v="5"/>
    <x v="0"/>
    <n v="2024"/>
    <n v="4"/>
    <x v="1"/>
    <n v="7.7"/>
    <n v="56.7"/>
    <x v="3"/>
    <s v="South Korea"/>
  </r>
  <r>
    <s v="N115"/>
    <s v="Bridgerton"/>
    <x v="4"/>
    <x v="1"/>
    <n v="2021"/>
    <n v="4"/>
    <x v="2"/>
    <n v="8.1"/>
    <n v="12"/>
    <x v="0"/>
    <s v="Germany"/>
  </r>
  <r>
    <s v="N116"/>
    <s v="Ginny &amp; Georgia"/>
    <x v="2"/>
    <x v="0"/>
    <n v="2022"/>
    <n v="1"/>
    <x v="1"/>
    <n v="9"/>
    <n v="51.1"/>
    <x v="8"/>
    <s v="Germany"/>
  </r>
  <r>
    <s v="N117"/>
    <s v="Peaky Blinders"/>
    <x v="0"/>
    <x v="0"/>
    <n v="2017"/>
    <n v="2"/>
    <x v="0"/>
    <n v="9.1999999999999993"/>
    <n v="42.3"/>
    <x v="8"/>
    <s v="India"/>
  </r>
  <r>
    <s v="N118"/>
    <s v="Black Mirror"/>
    <x v="0"/>
    <x v="3"/>
    <n v="2018"/>
    <n v="6"/>
    <x v="1"/>
    <n v="7.2"/>
    <n v="17.3"/>
    <x v="8"/>
    <s v="France"/>
  </r>
  <r>
    <s v="N119"/>
    <s v="Outer Banks"/>
    <x v="3"/>
    <x v="4"/>
    <n v="2015"/>
    <n v="7"/>
    <x v="0"/>
    <n v="6.6"/>
    <n v="19.8"/>
    <x v="9"/>
    <s v="Germany"/>
  </r>
  <r>
    <s v="N120"/>
    <s v="Sex Education"/>
    <x v="2"/>
    <x v="1"/>
    <n v="2017"/>
    <n v="2"/>
    <x v="1"/>
    <n v="9.1"/>
    <n v="59.7"/>
    <x v="3"/>
    <s v="South Korea"/>
  </r>
  <r>
    <s v="N121"/>
    <s v="Delhi Crime"/>
    <x v="6"/>
    <x v="0"/>
    <n v="2017"/>
    <n v="6"/>
    <x v="1"/>
    <n v="6.6"/>
    <n v="13.3"/>
    <x v="10"/>
    <s v="Germany"/>
  </r>
  <r>
    <s v="N122"/>
    <s v="Shadow and Bone"/>
    <x v="1"/>
    <x v="5"/>
    <n v="2022"/>
    <n v="3"/>
    <x v="0"/>
    <n v="9.5"/>
    <n v="43.7"/>
    <x v="0"/>
    <s v="USA"/>
  </r>
  <r>
    <s v="N123"/>
    <s v="Alice in Borderland"/>
    <x v="2"/>
    <x v="4"/>
    <n v="2021"/>
    <n v="6"/>
    <x v="1"/>
    <n v="7.6"/>
    <n v="10.7"/>
    <x v="11"/>
    <s v="France"/>
  </r>
  <r>
    <s v="N124"/>
    <s v="The Queen's Gambit"/>
    <x v="7"/>
    <x v="2"/>
    <n v="2015"/>
    <n v="6"/>
    <x v="0"/>
    <n v="6.6"/>
    <n v="12.4"/>
    <x v="8"/>
    <s v="Germany"/>
  </r>
  <r>
    <s v="N125"/>
    <s v="The Glory"/>
    <x v="5"/>
    <x v="2"/>
    <n v="2023"/>
    <n v="6"/>
    <x v="1"/>
    <n v="9.4"/>
    <n v="27"/>
    <x v="5"/>
    <s v="Germany"/>
  </r>
  <r>
    <s v="N126"/>
    <s v="Elite"/>
    <x v="2"/>
    <x v="1"/>
    <n v="2022"/>
    <n v="1"/>
    <x v="2"/>
    <n v="8.9"/>
    <n v="10"/>
    <x v="2"/>
    <s v="Spain"/>
  </r>
  <r>
    <s v="N127"/>
    <s v="Cobra Kai"/>
    <x v="7"/>
    <x v="5"/>
    <n v="2015"/>
    <n v="1"/>
    <x v="2"/>
    <n v="8.8000000000000007"/>
    <n v="29.5"/>
    <x v="11"/>
    <s v="Spain"/>
  </r>
  <r>
    <s v="N128"/>
    <s v="Black Mirror"/>
    <x v="1"/>
    <x v="5"/>
    <n v="2025"/>
    <n v="5"/>
    <x v="1"/>
    <n v="7.3"/>
    <n v="24.2"/>
    <x v="1"/>
    <s v="South Korea"/>
  </r>
  <r>
    <s v="N129"/>
    <s v="Sweet Home"/>
    <x v="6"/>
    <x v="4"/>
    <n v="2025"/>
    <n v="4"/>
    <x v="1"/>
    <n v="6.6"/>
    <n v="56"/>
    <x v="4"/>
    <s v="USA"/>
  </r>
  <r>
    <s v="N130"/>
    <s v="Ozark"/>
    <x v="6"/>
    <x v="0"/>
    <n v="2024"/>
    <n v="8"/>
    <x v="1"/>
    <n v="7.8"/>
    <n v="17.399999999999999"/>
    <x v="8"/>
    <s v="Germany"/>
  </r>
  <r>
    <s v="N131"/>
    <s v="The Glory"/>
    <x v="9"/>
    <x v="5"/>
    <n v="2023"/>
    <n v="4"/>
    <x v="1"/>
    <n v="7.6"/>
    <n v="10.1"/>
    <x v="9"/>
    <s v="South Korea"/>
  </r>
  <r>
    <s v="N132"/>
    <s v="Squid Game"/>
    <x v="4"/>
    <x v="0"/>
    <n v="2016"/>
    <n v="7"/>
    <x v="1"/>
    <n v="8.9"/>
    <n v="18.5"/>
    <x v="4"/>
    <s v="Spain"/>
  </r>
  <r>
    <s v="N133"/>
    <s v="You"/>
    <x v="6"/>
    <x v="1"/>
    <n v="2023"/>
    <n v="7"/>
    <x v="2"/>
    <n v="6.5"/>
    <n v="21.1"/>
    <x v="6"/>
    <s v="UK"/>
  </r>
  <r>
    <s v="N134"/>
    <s v="The Sandman"/>
    <x v="9"/>
    <x v="4"/>
    <n v="2015"/>
    <n v="5"/>
    <x v="0"/>
    <n v="8.3000000000000007"/>
    <n v="50.6"/>
    <x v="2"/>
    <s v="UK"/>
  </r>
  <r>
    <s v="N135"/>
    <s v="All of Us Are Dead"/>
    <x v="4"/>
    <x v="3"/>
    <n v="2016"/>
    <n v="5"/>
    <x v="2"/>
    <n v="9.3000000000000007"/>
    <n v="40.1"/>
    <x v="7"/>
    <s v="USA"/>
  </r>
  <r>
    <s v="N136"/>
    <s v="Squid Game"/>
    <x v="8"/>
    <x v="4"/>
    <n v="2019"/>
    <n v="3"/>
    <x v="1"/>
    <n v="6.9"/>
    <n v="57.5"/>
    <x v="0"/>
    <s v="India"/>
  </r>
  <r>
    <s v="N137"/>
    <s v="Lupin"/>
    <x v="5"/>
    <x v="0"/>
    <n v="2023"/>
    <n v="1"/>
    <x v="1"/>
    <n v="6.6"/>
    <n v="57.5"/>
    <x v="11"/>
    <s v="USA"/>
  </r>
  <r>
    <s v="N138"/>
    <s v="Vikings Valhalla"/>
    <x v="2"/>
    <x v="5"/>
    <n v="2016"/>
    <n v="1"/>
    <x v="1"/>
    <n v="7.7"/>
    <n v="22.1"/>
    <x v="7"/>
    <s v="South Korea"/>
  </r>
  <r>
    <s v="N139"/>
    <s v="Vikings Valhalla"/>
    <x v="4"/>
    <x v="5"/>
    <n v="2021"/>
    <n v="3"/>
    <x v="1"/>
    <n v="9.4"/>
    <n v="36.1"/>
    <x v="2"/>
    <s v="USA"/>
  </r>
  <r>
    <s v="N140"/>
    <s v="Lucifer"/>
    <x v="3"/>
    <x v="4"/>
    <n v="2025"/>
    <n v="7"/>
    <x v="1"/>
    <n v="7.5"/>
    <n v="26.7"/>
    <x v="6"/>
    <s v="UK"/>
  </r>
  <r>
    <s v="N141"/>
    <s v="Sex Education"/>
    <x v="2"/>
    <x v="4"/>
    <n v="2017"/>
    <n v="5"/>
    <x v="2"/>
    <n v="7.4"/>
    <n v="16.8"/>
    <x v="2"/>
    <s v="South Korea"/>
  </r>
  <r>
    <s v="N142"/>
    <s v="Black Mirror"/>
    <x v="9"/>
    <x v="0"/>
    <n v="2017"/>
    <n v="1"/>
    <x v="1"/>
    <n v="8.8000000000000007"/>
    <n v="8.1999999999999993"/>
    <x v="4"/>
    <s v="Spain"/>
  </r>
  <r>
    <s v="N143"/>
    <s v="Delhi Crime"/>
    <x v="6"/>
    <x v="0"/>
    <n v="2018"/>
    <n v="8"/>
    <x v="1"/>
    <n v="8.3000000000000007"/>
    <n v="8.9"/>
    <x v="10"/>
    <s v="South Korea"/>
  </r>
  <r>
    <s v="N144"/>
    <s v="Breaking Bad"/>
    <x v="1"/>
    <x v="3"/>
    <n v="2017"/>
    <n v="7"/>
    <x v="0"/>
    <n v="7.2"/>
    <n v="17.7"/>
    <x v="5"/>
    <s v="Spain"/>
  </r>
  <r>
    <s v="N145"/>
    <s v="Manifest"/>
    <x v="8"/>
    <x v="5"/>
    <n v="2015"/>
    <n v="8"/>
    <x v="1"/>
    <n v="6.5"/>
    <n v="9.9"/>
    <x v="4"/>
    <s v="France"/>
  </r>
  <r>
    <s v="N146"/>
    <s v="Outer Banks"/>
    <x v="4"/>
    <x v="0"/>
    <n v="2024"/>
    <n v="3"/>
    <x v="1"/>
    <n v="9.1999999999999993"/>
    <n v="38.6"/>
    <x v="8"/>
    <s v="Spain"/>
  </r>
  <r>
    <s v="N147"/>
    <s v="Better Call Saul"/>
    <x v="5"/>
    <x v="1"/>
    <n v="2016"/>
    <n v="7"/>
    <x v="1"/>
    <n v="8.1999999999999993"/>
    <n v="40.4"/>
    <x v="10"/>
    <s v="UK"/>
  </r>
  <r>
    <s v="N148"/>
    <s v="Outer Banks"/>
    <x v="2"/>
    <x v="3"/>
    <n v="2024"/>
    <n v="4"/>
    <x v="2"/>
    <n v="8.5"/>
    <n v="51.5"/>
    <x v="7"/>
    <s v="USA"/>
  </r>
  <r>
    <s v="N149"/>
    <s v="Sex Education"/>
    <x v="2"/>
    <x v="4"/>
    <n v="2025"/>
    <n v="5"/>
    <x v="1"/>
    <n v="8.6999999999999993"/>
    <n v="30.2"/>
    <x v="1"/>
    <s v="UK"/>
  </r>
  <r>
    <s v="N150"/>
    <s v="Breaking Bad"/>
    <x v="5"/>
    <x v="0"/>
    <n v="2019"/>
    <n v="6"/>
    <x v="0"/>
    <n v="9"/>
    <n v="11.2"/>
    <x v="7"/>
    <s v="Spain"/>
  </r>
  <r>
    <s v="N151"/>
    <s v="Ginny &amp; Georgia"/>
    <x v="6"/>
    <x v="4"/>
    <n v="2021"/>
    <n v="7"/>
    <x v="1"/>
    <n v="6.8"/>
    <n v="14.2"/>
    <x v="7"/>
    <s v="France"/>
  </r>
  <r>
    <s v="N152"/>
    <s v="Money Heist"/>
    <x v="3"/>
    <x v="1"/>
    <n v="2022"/>
    <n v="1"/>
    <x v="1"/>
    <n v="8.6999999999999993"/>
    <n v="47"/>
    <x v="0"/>
    <s v="South Korea"/>
  </r>
  <r>
    <s v="N153"/>
    <s v="The Crown"/>
    <x v="1"/>
    <x v="1"/>
    <n v="2016"/>
    <n v="7"/>
    <x v="1"/>
    <n v="8.9"/>
    <n v="55.3"/>
    <x v="0"/>
    <s v="USA"/>
  </r>
  <r>
    <s v="N154"/>
    <s v="Delhi Crime"/>
    <x v="7"/>
    <x v="5"/>
    <n v="2018"/>
    <n v="7"/>
    <x v="1"/>
    <n v="7.1"/>
    <n v="30.9"/>
    <x v="3"/>
    <s v="Spain"/>
  </r>
  <r>
    <s v="N155"/>
    <s v="Baby Reindeer"/>
    <x v="7"/>
    <x v="4"/>
    <n v="2018"/>
    <n v="2"/>
    <x v="1"/>
    <n v="9.6"/>
    <n v="54.6"/>
    <x v="4"/>
    <s v="France"/>
  </r>
  <r>
    <s v="N156"/>
    <s v="Better Call Saul"/>
    <x v="1"/>
    <x v="1"/>
    <n v="2023"/>
    <n v="3"/>
    <x v="1"/>
    <n v="8.5"/>
    <n v="27.7"/>
    <x v="4"/>
    <s v="Spain"/>
  </r>
  <r>
    <s v="N157"/>
    <s v="Locke &amp; Key"/>
    <x v="4"/>
    <x v="0"/>
    <n v="2016"/>
    <n v="2"/>
    <x v="1"/>
    <n v="8.1999999999999993"/>
    <n v="21.8"/>
    <x v="4"/>
    <s v="Germany"/>
  </r>
  <r>
    <s v="N158"/>
    <s v="The Glory"/>
    <x v="9"/>
    <x v="2"/>
    <n v="2015"/>
    <n v="5"/>
    <x v="0"/>
    <n v="9.1"/>
    <n v="55.1"/>
    <x v="0"/>
    <s v="France"/>
  </r>
  <r>
    <s v="N159"/>
    <s v="Heartstopper"/>
    <x v="5"/>
    <x v="2"/>
    <n v="2019"/>
    <n v="2"/>
    <x v="1"/>
    <n v="8"/>
    <n v="57.5"/>
    <x v="5"/>
    <s v="Germany"/>
  </r>
  <r>
    <s v="N160"/>
    <s v="You"/>
    <x v="3"/>
    <x v="1"/>
    <n v="2017"/>
    <n v="6"/>
    <x v="0"/>
    <n v="9"/>
    <n v="51.1"/>
    <x v="7"/>
    <s v="India"/>
  </r>
  <r>
    <s v="N161"/>
    <s v="Sex Education"/>
    <x v="0"/>
    <x v="3"/>
    <n v="2023"/>
    <n v="5"/>
    <x v="0"/>
    <n v="9.1"/>
    <n v="20.9"/>
    <x v="1"/>
    <s v="UK"/>
  </r>
  <r>
    <s v="N162"/>
    <s v="The Witcher"/>
    <x v="7"/>
    <x v="3"/>
    <n v="2020"/>
    <n v="8"/>
    <x v="1"/>
    <n v="7.6"/>
    <n v="21.7"/>
    <x v="7"/>
    <s v="Spain"/>
  </r>
  <r>
    <s v="N163"/>
    <s v="Wednesday"/>
    <x v="8"/>
    <x v="4"/>
    <n v="2024"/>
    <n v="1"/>
    <x v="2"/>
    <n v="7"/>
    <n v="43.6"/>
    <x v="1"/>
    <s v="Germany"/>
  </r>
  <r>
    <s v="N164"/>
    <s v="Sweet Home"/>
    <x v="6"/>
    <x v="0"/>
    <n v="2018"/>
    <n v="1"/>
    <x v="1"/>
    <n v="9.6"/>
    <n v="29.6"/>
    <x v="3"/>
    <s v="France"/>
  </r>
  <r>
    <s v="N165"/>
    <s v="The Glory"/>
    <x v="9"/>
    <x v="2"/>
    <n v="2021"/>
    <n v="2"/>
    <x v="1"/>
    <n v="8.1999999999999993"/>
    <n v="27.1"/>
    <x v="7"/>
    <s v="Spain"/>
  </r>
  <r>
    <s v="N166"/>
    <s v="Outer Banks"/>
    <x v="9"/>
    <x v="3"/>
    <n v="2022"/>
    <n v="7"/>
    <x v="1"/>
    <n v="6.7"/>
    <n v="41.7"/>
    <x v="7"/>
    <s v="USA"/>
  </r>
  <r>
    <s v="N167"/>
    <s v="Lupin"/>
    <x v="8"/>
    <x v="3"/>
    <n v="2019"/>
    <n v="7"/>
    <x v="0"/>
    <n v="6.6"/>
    <n v="50.6"/>
    <x v="5"/>
    <s v="France"/>
  </r>
  <r>
    <s v="N168"/>
    <s v="Outer Banks"/>
    <x v="3"/>
    <x v="1"/>
    <n v="2023"/>
    <n v="3"/>
    <x v="1"/>
    <n v="7.1"/>
    <n v="43.1"/>
    <x v="9"/>
    <s v="France"/>
  </r>
  <r>
    <s v="N169"/>
    <s v="The Diplomat"/>
    <x v="1"/>
    <x v="5"/>
    <n v="2022"/>
    <n v="3"/>
    <x v="0"/>
    <n v="9.8000000000000007"/>
    <n v="12.2"/>
    <x v="9"/>
    <s v="UK"/>
  </r>
  <r>
    <s v="N170"/>
    <s v="The Lincoln Lawyer"/>
    <x v="1"/>
    <x v="2"/>
    <n v="2022"/>
    <n v="5"/>
    <x v="1"/>
    <n v="8.9"/>
    <n v="49.3"/>
    <x v="11"/>
    <s v="USA"/>
  </r>
  <r>
    <s v="N171"/>
    <s v="Vikings Valhalla"/>
    <x v="1"/>
    <x v="2"/>
    <n v="2025"/>
    <n v="3"/>
    <x v="1"/>
    <n v="9.5"/>
    <n v="55.1"/>
    <x v="2"/>
    <s v="USA"/>
  </r>
  <r>
    <s v="N172"/>
    <s v="Stranger Things"/>
    <x v="4"/>
    <x v="2"/>
    <n v="2023"/>
    <n v="3"/>
    <x v="2"/>
    <n v="7.1"/>
    <n v="44.3"/>
    <x v="4"/>
    <s v="Germany"/>
  </r>
  <r>
    <s v="N173"/>
    <s v="Lupin"/>
    <x v="1"/>
    <x v="3"/>
    <n v="2022"/>
    <n v="5"/>
    <x v="1"/>
    <n v="9.5"/>
    <n v="45.2"/>
    <x v="5"/>
    <s v="France"/>
  </r>
  <r>
    <s v="N174"/>
    <s v="Bridgerton"/>
    <x v="5"/>
    <x v="5"/>
    <n v="2021"/>
    <n v="3"/>
    <x v="1"/>
    <n v="7"/>
    <n v="33.4"/>
    <x v="11"/>
    <s v="UK"/>
  </r>
  <r>
    <s v="N175"/>
    <s v="The Glory"/>
    <x v="7"/>
    <x v="4"/>
    <n v="2018"/>
    <n v="6"/>
    <x v="1"/>
    <n v="9.1999999999999993"/>
    <n v="35.200000000000003"/>
    <x v="3"/>
    <s v="Spain"/>
  </r>
  <r>
    <s v="N176"/>
    <s v="The Diplomat"/>
    <x v="9"/>
    <x v="1"/>
    <n v="2025"/>
    <n v="4"/>
    <x v="0"/>
    <n v="7.2"/>
    <n v="48.9"/>
    <x v="2"/>
    <s v="UK"/>
  </r>
  <r>
    <s v="N177"/>
    <s v="Sweet Home"/>
    <x v="5"/>
    <x v="4"/>
    <n v="2017"/>
    <n v="6"/>
    <x v="1"/>
    <n v="9.1"/>
    <n v="50"/>
    <x v="3"/>
    <s v="Spain"/>
  </r>
  <r>
    <s v="N178"/>
    <s v="Baby Reindeer"/>
    <x v="3"/>
    <x v="1"/>
    <n v="2016"/>
    <n v="4"/>
    <x v="0"/>
    <n v="9.3000000000000007"/>
    <n v="49.3"/>
    <x v="8"/>
    <s v="South Korea"/>
  </r>
  <r>
    <s v="N179"/>
    <s v="Wednesday"/>
    <x v="4"/>
    <x v="5"/>
    <n v="2017"/>
    <n v="5"/>
    <x v="0"/>
    <n v="9.4"/>
    <n v="12.6"/>
    <x v="11"/>
    <s v="South Korea"/>
  </r>
  <r>
    <s v="N180"/>
    <s v="The Queen's Gambit"/>
    <x v="7"/>
    <x v="0"/>
    <n v="2023"/>
    <n v="6"/>
    <x v="1"/>
    <n v="6.8"/>
    <n v="8.6"/>
    <x v="9"/>
    <s v="Spain"/>
  </r>
  <r>
    <s v="N181"/>
    <s v="Squid Game"/>
    <x v="9"/>
    <x v="2"/>
    <n v="2020"/>
    <n v="6"/>
    <x v="1"/>
    <n v="8.1"/>
    <n v="42"/>
    <x v="6"/>
    <s v="India"/>
  </r>
  <r>
    <s v="N182"/>
    <s v="Better Call Saul"/>
    <x v="3"/>
    <x v="4"/>
    <n v="2017"/>
    <n v="2"/>
    <x v="0"/>
    <n v="6.5"/>
    <n v="9.4"/>
    <x v="8"/>
    <s v="UK"/>
  </r>
  <r>
    <s v="N183"/>
    <s v="The Queen's Gambit"/>
    <x v="7"/>
    <x v="2"/>
    <n v="2018"/>
    <n v="7"/>
    <x v="1"/>
    <n v="6.8"/>
    <n v="19.600000000000001"/>
    <x v="8"/>
    <s v="UK"/>
  </r>
  <r>
    <s v="N184"/>
    <s v="Vikings Valhalla"/>
    <x v="2"/>
    <x v="4"/>
    <n v="2018"/>
    <n v="5"/>
    <x v="1"/>
    <n v="8"/>
    <n v="18.5"/>
    <x v="2"/>
    <s v="India"/>
  </r>
  <r>
    <s v="N185"/>
    <s v="Stranger Things"/>
    <x v="1"/>
    <x v="5"/>
    <n v="2023"/>
    <n v="7"/>
    <x v="1"/>
    <n v="6.9"/>
    <n v="16.5"/>
    <x v="5"/>
    <s v="USA"/>
  </r>
  <r>
    <s v="N186"/>
    <s v="All of Us Are Dead"/>
    <x v="5"/>
    <x v="3"/>
    <n v="2022"/>
    <n v="4"/>
    <x v="1"/>
    <n v="9.4"/>
    <n v="24.6"/>
    <x v="0"/>
    <s v="UK"/>
  </r>
  <r>
    <s v="N187"/>
    <s v="The Witcher"/>
    <x v="8"/>
    <x v="1"/>
    <n v="2022"/>
    <n v="2"/>
    <x v="1"/>
    <n v="7"/>
    <n v="54.3"/>
    <x v="11"/>
    <s v="India"/>
  </r>
  <r>
    <s v="N188"/>
    <s v="You"/>
    <x v="3"/>
    <x v="0"/>
    <n v="2025"/>
    <n v="1"/>
    <x v="1"/>
    <n v="6.6"/>
    <n v="52.9"/>
    <x v="7"/>
    <s v="South Korea"/>
  </r>
  <r>
    <s v="N189"/>
    <s v="You"/>
    <x v="3"/>
    <x v="5"/>
    <n v="2020"/>
    <n v="8"/>
    <x v="2"/>
    <n v="7.1"/>
    <n v="11.9"/>
    <x v="6"/>
    <s v="France"/>
  </r>
  <r>
    <s v="N190"/>
    <s v="The Crown"/>
    <x v="8"/>
    <x v="2"/>
    <n v="2019"/>
    <n v="7"/>
    <x v="2"/>
    <n v="9.4"/>
    <n v="29.6"/>
    <x v="6"/>
    <s v="Germany"/>
  </r>
  <r>
    <s v="N191"/>
    <s v="The Crown"/>
    <x v="4"/>
    <x v="5"/>
    <n v="2016"/>
    <n v="4"/>
    <x v="1"/>
    <n v="6.7"/>
    <n v="18.8"/>
    <x v="0"/>
    <s v="France"/>
  </r>
  <r>
    <s v="N192"/>
    <s v="Manifest"/>
    <x v="1"/>
    <x v="5"/>
    <n v="2019"/>
    <n v="2"/>
    <x v="1"/>
    <n v="6.6"/>
    <n v="52.8"/>
    <x v="11"/>
    <s v="India"/>
  </r>
  <r>
    <s v="N193"/>
    <s v="One Piece"/>
    <x v="4"/>
    <x v="4"/>
    <n v="2015"/>
    <n v="4"/>
    <x v="0"/>
    <n v="8.5"/>
    <n v="52.7"/>
    <x v="2"/>
    <s v="UK"/>
  </r>
  <r>
    <s v="N194"/>
    <s v="Ozark"/>
    <x v="4"/>
    <x v="0"/>
    <n v="2018"/>
    <n v="3"/>
    <x v="1"/>
    <n v="6.5"/>
    <n v="24.4"/>
    <x v="0"/>
    <s v="Germany"/>
  </r>
  <r>
    <s v="N195"/>
    <s v="Heartstopper"/>
    <x v="5"/>
    <x v="3"/>
    <n v="2022"/>
    <n v="3"/>
    <x v="1"/>
    <n v="9.3000000000000007"/>
    <n v="39"/>
    <x v="9"/>
    <s v="Spain"/>
  </r>
  <r>
    <s v="N196"/>
    <s v="Lucifer"/>
    <x v="6"/>
    <x v="0"/>
    <n v="2019"/>
    <n v="2"/>
    <x v="1"/>
    <n v="9.1"/>
    <n v="19.100000000000001"/>
    <x v="5"/>
    <s v="UK"/>
  </r>
  <r>
    <s v="N197"/>
    <s v="Squid Game"/>
    <x v="5"/>
    <x v="2"/>
    <n v="2018"/>
    <n v="6"/>
    <x v="0"/>
    <n v="8.1999999999999993"/>
    <n v="40.4"/>
    <x v="8"/>
    <s v="France"/>
  </r>
  <r>
    <s v="N198"/>
    <s v="Locke &amp; Key"/>
    <x v="9"/>
    <x v="2"/>
    <n v="2018"/>
    <n v="3"/>
    <x v="1"/>
    <n v="8.8000000000000007"/>
    <n v="58.7"/>
    <x v="4"/>
    <s v="Germany"/>
  </r>
  <r>
    <s v="N199"/>
    <s v="Manifest"/>
    <x v="7"/>
    <x v="3"/>
    <n v="2024"/>
    <n v="1"/>
    <x v="2"/>
    <n v="7.5"/>
    <n v="50.2"/>
    <x v="7"/>
    <s v="Spain"/>
  </r>
  <r>
    <s v="N200"/>
    <s v="Cobra Kai"/>
    <x v="8"/>
    <x v="3"/>
    <n v="2024"/>
    <n v="4"/>
    <x v="0"/>
    <n v="9.3000000000000007"/>
    <n v="25.7"/>
    <x v="2"/>
    <s v="U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N001"/>
    <x v="0"/>
    <s v="Mystery"/>
    <s v="French"/>
    <n v="2022"/>
    <n v="4"/>
    <s v="Watching"/>
    <x v="0"/>
    <n v="56.5"/>
    <s v="June"/>
  </r>
  <r>
    <s v="N002"/>
    <x v="1"/>
    <s v="Action"/>
    <s v="English"/>
    <n v="2018"/>
    <n v="2"/>
    <s v="Watching"/>
    <x v="1"/>
    <n v="15.7"/>
    <s v="December"/>
  </r>
  <r>
    <s v="N003"/>
    <x v="2"/>
    <s v="Drama"/>
    <s v="Hindi"/>
    <n v="2018"/>
    <n v="2"/>
    <s v="Completed"/>
    <x v="0"/>
    <n v="37.700000000000003"/>
    <s v="September"/>
  </r>
  <r>
    <s v="N004"/>
    <x v="3"/>
    <s v="Fantasy"/>
    <s v="French"/>
    <n v="2021"/>
    <n v="2"/>
    <s v="Completed"/>
    <x v="2"/>
    <n v="11.4"/>
    <s v="October"/>
  </r>
  <r>
    <s v="N005"/>
    <x v="4"/>
    <s v="Drama"/>
    <s v="French"/>
    <n v="2019"/>
    <n v="6"/>
    <s v="Completed"/>
    <x v="3"/>
    <n v="17.5"/>
    <s v="October"/>
  </r>
  <r>
    <s v="N006"/>
    <x v="5"/>
    <s v="Romance"/>
    <s v="French"/>
    <n v="2020"/>
    <n v="4"/>
    <s v="Watching"/>
    <x v="0"/>
    <n v="28.3"/>
    <s v="August"/>
  </r>
  <r>
    <s v="N007"/>
    <x v="6"/>
    <s v="Horror"/>
    <s v="French"/>
    <n v="2015"/>
    <n v="2"/>
    <s v="Completed"/>
    <x v="1"/>
    <n v="29"/>
    <s v="February"/>
  </r>
  <r>
    <s v="N008"/>
    <x v="7"/>
    <s v="Comedy"/>
    <s v="French"/>
    <n v="2025"/>
    <n v="1"/>
    <s v="Watching"/>
    <x v="4"/>
    <n v="13.7"/>
    <s v="June"/>
  </r>
  <r>
    <s v="N009"/>
    <x v="8"/>
    <s v="Mystery"/>
    <s v="Korean"/>
    <n v="2016"/>
    <n v="4"/>
    <s v="Watching"/>
    <x v="5"/>
    <n v="22.3"/>
    <s v="June"/>
  </r>
  <r>
    <s v="N010"/>
    <x v="9"/>
    <s v="Mystery"/>
    <s v="Hindi"/>
    <n v="2024"/>
    <n v="8"/>
    <s v="Watching"/>
    <x v="6"/>
    <n v="32.1"/>
    <s v="January"/>
  </r>
  <r>
    <s v="N011"/>
    <x v="10"/>
    <s v="Thriller"/>
    <s v="Korean"/>
    <n v="2023"/>
    <n v="1"/>
    <s v="Completed"/>
    <x v="7"/>
    <n v="35.4"/>
    <s v="April"/>
  </r>
  <r>
    <s v="N012"/>
    <x v="11"/>
    <s v="Comedy"/>
    <s v="Hindi"/>
    <n v="2016"/>
    <n v="8"/>
    <s v="Completed"/>
    <x v="7"/>
    <n v="45.4"/>
    <s v="January"/>
  </r>
  <r>
    <s v="N013"/>
    <x v="12"/>
    <s v="Horror"/>
    <s v="English"/>
    <n v="2020"/>
    <n v="8"/>
    <s v="Watching"/>
    <x v="8"/>
    <n v="48.1"/>
    <s v="July"/>
  </r>
  <r>
    <s v="N014"/>
    <x v="13"/>
    <s v="Romance"/>
    <s v="Korean"/>
    <n v="2016"/>
    <n v="5"/>
    <s v="Completed"/>
    <x v="9"/>
    <n v="53"/>
    <s v="June"/>
  </r>
  <r>
    <s v="N015"/>
    <x v="14"/>
    <s v="Action"/>
    <s v="Hindi"/>
    <n v="2023"/>
    <n v="5"/>
    <s v="Plan to Watch"/>
    <x v="10"/>
    <n v="59.3"/>
    <s v="November"/>
  </r>
  <r>
    <s v="N016"/>
    <x v="9"/>
    <s v="Crime"/>
    <s v="English"/>
    <n v="2025"/>
    <n v="8"/>
    <s v="Completed"/>
    <x v="11"/>
    <n v="53.3"/>
    <s v="September"/>
  </r>
  <r>
    <s v="N017"/>
    <x v="3"/>
    <s v="Action"/>
    <s v="Spanish"/>
    <n v="2017"/>
    <n v="6"/>
    <s v="Completed"/>
    <x v="12"/>
    <n v="24.4"/>
    <s v="March"/>
  </r>
  <r>
    <s v="N018"/>
    <x v="0"/>
    <s v="Crime"/>
    <s v="Korean"/>
    <n v="2022"/>
    <n v="8"/>
    <s v="Completed"/>
    <x v="13"/>
    <n v="19.399999999999999"/>
    <s v="July"/>
  </r>
  <r>
    <s v="N019"/>
    <x v="2"/>
    <s v="Thriller"/>
    <s v="Hindi"/>
    <n v="2025"/>
    <n v="1"/>
    <s v="Watching"/>
    <x v="14"/>
    <n v="35.799999999999997"/>
    <s v="December"/>
  </r>
  <r>
    <s v="N020"/>
    <x v="15"/>
    <s v="Drama"/>
    <s v="Spanish"/>
    <n v="2025"/>
    <n v="8"/>
    <s v="Watching"/>
    <x v="15"/>
    <n v="46.8"/>
    <s v="May"/>
  </r>
  <r>
    <s v="N021"/>
    <x v="16"/>
    <s v="Comedy"/>
    <s v="French"/>
    <n v="2022"/>
    <n v="4"/>
    <s v="Completed"/>
    <x v="16"/>
    <n v="40.700000000000003"/>
    <s v="November"/>
  </r>
  <r>
    <s v="N022"/>
    <x v="17"/>
    <s v="Comedy"/>
    <s v="French"/>
    <n v="2023"/>
    <n v="3"/>
    <s v="Completed"/>
    <x v="17"/>
    <n v="42"/>
    <s v="January"/>
  </r>
  <r>
    <s v="N023"/>
    <x v="18"/>
    <s v="Comedy"/>
    <s v="Hindi"/>
    <n v="2016"/>
    <n v="2"/>
    <s v="Completed"/>
    <x v="3"/>
    <n v="59.1"/>
    <s v="April"/>
  </r>
  <r>
    <s v="N024"/>
    <x v="12"/>
    <s v="Crime"/>
    <s v="Korean"/>
    <n v="2020"/>
    <n v="1"/>
    <s v="Watching"/>
    <x v="18"/>
    <n v="40.1"/>
    <s v="November"/>
  </r>
  <r>
    <s v="N025"/>
    <x v="19"/>
    <s v="Fantasy"/>
    <s v="French"/>
    <n v="2017"/>
    <n v="4"/>
    <s v="Completed"/>
    <x v="16"/>
    <n v="22.2"/>
    <s v="April"/>
  </r>
  <r>
    <s v="N026"/>
    <x v="20"/>
    <s v="Action"/>
    <s v="Hindi"/>
    <n v="2024"/>
    <n v="3"/>
    <s v="Completed"/>
    <x v="12"/>
    <n v="49.8"/>
    <s v="June"/>
  </r>
  <r>
    <s v="N027"/>
    <x v="20"/>
    <s v="Crime"/>
    <s v="Spanish"/>
    <n v="2017"/>
    <n v="6"/>
    <s v="Completed"/>
    <x v="8"/>
    <n v="35.799999999999997"/>
    <s v="March"/>
  </r>
  <r>
    <s v="N028"/>
    <x v="21"/>
    <s v="Action"/>
    <s v="French"/>
    <n v="2021"/>
    <n v="6"/>
    <s v="Completed"/>
    <x v="6"/>
    <n v="13.8"/>
    <s v="January"/>
  </r>
  <r>
    <s v="N029"/>
    <x v="22"/>
    <s v="Romance"/>
    <s v="German"/>
    <n v="2018"/>
    <n v="2"/>
    <s v="Watching"/>
    <x v="19"/>
    <n v="45.3"/>
    <s v="November"/>
  </r>
  <r>
    <s v="N030"/>
    <x v="16"/>
    <s v="Crime"/>
    <s v="German"/>
    <n v="2015"/>
    <n v="5"/>
    <s v="Completed"/>
    <x v="16"/>
    <n v="29.7"/>
    <s v="February"/>
  </r>
  <r>
    <s v="N031"/>
    <x v="16"/>
    <s v="Drama"/>
    <s v="French"/>
    <n v="2023"/>
    <n v="6"/>
    <s v="Watching"/>
    <x v="8"/>
    <n v="26.7"/>
    <s v="January"/>
  </r>
  <r>
    <s v="N032"/>
    <x v="21"/>
    <s v="Crime"/>
    <s v="Spanish"/>
    <n v="2016"/>
    <n v="5"/>
    <s v="Watching"/>
    <x v="7"/>
    <n v="57.1"/>
    <s v="March"/>
  </r>
  <r>
    <s v="N033"/>
    <x v="23"/>
    <s v="Mystery"/>
    <s v="Korean"/>
    <n v="2023"/>
    <n v="3"/>
    <s v="Completed"/>
    <x v="20"/>
    <n v="56.7"/>
    <s v="December"/>
  </r>
  <r>
    <s v="N034"/>
    <x v="24"/>
    <s v="Drama"/>
    <s v="Korean"/>
    <n v="2021"/>
    <n v="1"/>
    <s v="Watching"/>
    <x v="21"/>
    <n v="53.3"/>
    <s v="April"/>
  </r>
  <r>
    <s v="N035"/>
    <x v="25"/>
    <s v="Horror"/>
    <s v="Korean"/>
    <n v="2021"/>
    <n v="3"/>
    <s v="Watching"/>
    <x v="0"/>
    <n v="53.4"/>
    <s v="August"/>
  </r>
  <r>
    <s v="N036"/>
    <x v="14"/>
    <s v="Crime"/>
    <s v="Korean"/>
    <n v="2023"/>
    <n v="3"/>
    <s v="Plan to Watch"/>
    <x v="22"/>
    <n v="15.3"/>
    <s v="October"/>
  </r>
  <r>
    <s v="N037"/>
    <x v="10"/>
    <s v="Romance"/>
    <s v="Hindi"/>
    <n v="2020"/>
    <n v="7"/>
    <s v="Completed"/>
    <x v="17"/>
    <n v="56.5"/>
    <s v="September"/>
  </r>
  <r>
    <s v="N038"/>
    <x v="26"/>
    <s v="Romance"/>
    <s v="Hindi"/>
    <n v="2015"/>
    <n v="7"/>
    <s v="Completed"/>
    <x v="23"/>
    <n v="58.1"/>
    <s v="November"/>
  </r>
  <r>
    <s v="N039"/>
    <x v="27"/>
    <s v="Sci-Fi"/>
    <s v="English"/>
    <n v="2021"/>
    <n v="3"/>
    <s v="Completed"/>
    <x v="9"/>
    <n v="55.6"/>
    <s v="January"/>
  </r>
  <r>
    <s v="N040"/>
    <x v="16"/>
    <s v="Comedy"/>
    <s v="German"/>
    <n v="2017"/>
    <n v="2"/>
    <s v="Watching"/>
    <x v="19"/>
    <n v="12.7"/>
    <s v="February"/>
  </r>
  <r>
    <s v="N041"/>
    <x v="27"/>
    <s v="Fantasy"/>
    <s v="French"/>
    <n v="2019"/>
    <n v="4"/>
    <s v="Completed"/>
    <x v="24"/>
    <n v="48.7"/>
    <s v="August"/>
  </r>
  <r>
    <s v="N042"/>
    <x v="1"/>
    <s v="Fantasy"/>
    <s v="English"/>
    <n v="2020"/>
    <n v="6"/>
    <s v="Completed"/>
    <x v="25"/>
    <n v="18.100000000000001"/>
    <s v="September"/>
  </r>
  <r>
    <s v="N043"/>
    <x v="27"/>
    <s v="Fantasy"/>
    <s v="English"/>
    <n v="2016"/>
    <n v="5"/>
    <s v="Plan to Watch"/>
    <x v="26"/>
    <n v="54.2"/>
    <s v="June"/>
  </r>
  <r>
    <s v="N044"/>
    <x v="28"/>
    <s v="Romance"/>
    <s v="German"/>
    <n v="2025"/>
    <n v="6"/>
    <s v="Completed"/>
    <x v="17"/>
    <n v="23.3"/>
    <s v="February"/>
  </r>
  <r>
    <s v="N045"/>
    <x v="3"/>
    <s v="Horror"/>
    <s v="Spanish"/>
    <n v="2019"/>
    <n v="6"/>
    <s v="Watching"/>
    <x v="27"/>
    <n v="36.4"/>
    <s v="April"/>
  </r>
  <r>
    <s v="N046"/>
    <x v="29"/>
    <s v="Fantasy"/>
    <s v="Spanish"/>
    <n v="2021"/>
    <n v="1"/>
    <s v="Watching"/>
    <x v="25"/>
    <n v="37.6"/>
    <s v="August"/>
  </r>
  <r>
    <s v="N047"/>
    <x v="20"/>
    <s v="Comedy"/>
    <s v="French"/>
    <n v="2017"/>
    <n v="1"/>
    <s v="Watching"/>
    <x v="25"/>
    <n v="28.3"/>
    <s v="April"/>
  </r>
  <r>
    <s v="N048"/>
    <x v="30"/>
    <s v="Comedy"/>
    <s v="Spanish"/>
    <n v="2025"/>
    <n v="4"/>
    <s v="Completed"/>
    <x v="21"/>
    <n v="45"/>
    <s v="August"/>
  </r>
  <r>
    <s v="N049"/>
    <x v="17"/>
    <s v="Horror"/>
    <s v="Spanish"/>
    <n v="2021"/>
    <n v="7"/>
    <s v="Completed"/>
    <x v="12"/>
    <n v="16.8"/>
    <s v="June"/>
  </r>
  <r>
    <s v="N050"/>
    <x v="31"/>
    <s v="Mystery"/>
    <s v="English"/>
    <n v="2017"/>
    <n v="7"/>
    <s v="Completed"/>
    <x v="15"/>
    <n v="9.6"/>
    <s v="January"/>
  </r>
  <r>
    <s v="N051"/>
    <x v="7"/>
    <s v="Comedy"/>
    <s v="Korean"/>
    <n v="2020"/>
    <n v="8"/>
    <s v="Completed"/>
    <x v="4"/>
    <n v="26.1"/>
    <s v="May"/>
  </r>
  <r>
    <s v="N052"/>
    <x v="32"/>
    <s v="Comedy"/>
    <s v="German"/>
    <n v="2017"/>
    <n v="8"/>
    <s v="Watching"/>
    <x v="17"/>
    <n v="59.3"/>
    <s v="January"/>
  </r>
  <r>
    <s v="N053"/>
    <x v="20"/>
    <s v="Fantasy"/>
    <s v="German"/>
    <n v="2021"/>
    <n v="7"/>
    <s v="Watching"/>
    <x v="19"/>
    <n v="34.1"/>
    <s v="December"/>
  </r>
  <r>
    <s v="N054"/>
    <x v="6"/>
    <s v="Thriller"/>
    <s v="Spanish"/>
    <n v="2025"/>
    <n v="6"/>
    <s v="Completed"/>
    <x v="0"/>
    <n v="55.4"/>
    <s v="May"/>
  </r>
  <r>
    <s v="N055"/>
    <x v="32"/>
    <s v="Thriller"/>
    <s v="Korean"/>
    <n v="2025"/>
    <n v="4"/>
    <s v="Plan to Watch"/>
    <x v="15"/>
    <n v="23.3"/>
    <s v="June"/>
  </r>
  <r>
    <s v="N056"/>
    <x v="26"/>
    <s v="Crime"/>
    <s v="Spanish"/>
    <n v="2021"/>
    <n v="4"/>
    <s v="Completed"/>
    <x v="23"/>
    <n v="53.3"/>
    <s v="December"/>
  </r>
  <r>
    <s v="N057"/>
    <x v="21"/>
    <s v="Crime"/>
    <s v="Korean"/>
    <n v="2019"/>
    <n v="7"/>
    <s v="Completed"/>
    <x v="7"/>
    <n v="25"/>
    <s v="September"/>
  </r>
  <r>
    <s v="N058"/>
    <x v="13"/>
    <s v="Thriller"/>
    <s v="Spanish"/>
    <n v="2020"/>
    <n v="6"/>
    <s v="Plan to Watch"/>
    <x v="8"/>
    <n v="13.4"/>
    <s v="September"/>
  </r>
  <r>
    <s v="N059"/>
    <x v="14"/>
    <s v="Comedy"/>
    <s v="English"/>
    <n v="2020"/>
    <n v="4"/>
    <s v="Watching"/>
    <x v="27"/>
    <n v="28.3"/>
    <s v="October"/>
  </r>
  <r>
    <s v="N060"/>
    <x v="3"/>
    <s v="Mystery"/>
    <s v="French"/>
    <n v="2023"/>
    <n v="3"/>
    <s v="Completed"/>
    <x v="0"/>
    <n v="22.1"/>
    <s v="July"/>
  </r>
  <r>
    <s v="N061"/>
    <x v="9"/>
    <s v="Sci-Fi"/>
    <s v="English"/>
    <n v="2016"/>
    <n v="7"/>
    <s v="Watching"/>
    <x v="1"/>
    <n v="46.2"/>
    <s v="February"/>
  </r>
  <r>
    <s v="N062"/>
    <x v="18"/>
    <s v="Drama"/>
    <s v="English"/>
    <n v="2021"/>
    <n v="4"/>
    <s v="Completed"/>
    <x v="9"/>
    <n v="16.100000000000001"/>
    <s v="March"/>
  </r>
  <r>
    <s v="N063"/>
    <x v="3"/>
    <s v="Action"/>
    <s v="Spanish"/>
    <n v="2018"/>
    <n v="5"/>
    <s v="Plan to Watch"/>
    <x v="7"/>
    <n v="51.1"/>
    <s v="June"/>
  </r>
  <r>
    <s v="N064"/>
    <x v="12"/>
    <s v="Action"/>
    <s v="German"/>
    <n v="2015"/>
    <n v="6"/>
    <s v="Completed"/>
    <x v="28"/>
    <n v="34.299999999999997"/>
    <s v="September"/>
  </r>
  <r>
    <s v="N065"/>
    <x v="33"/>
    <s v="Horror"/>
    <s v="Spanish"/>
    <n v="2021"/>
    <n v="3"/>
    <s v="Completed"/>
    <x v="17"/>
    <n v="35.5"/>
    <s v="October"/>
  </r>
  <r>
    <s v="N066"/>
    <x v="34"/>
    <s v="Drama"/>
    <s v="Spanish"/>
    <n v="2024"/>
    <n v="6"/>
    <s v="Plan to Watch"/>
    <x v="20"/>
    <n v="11.8"/>
    <s v="August"/>
  </r>
  <r>
    <s v="N067"/>
    <x v="23"/>
    <s v="Horror"/>
    <s v="Korean"/>
    <n v="2020"/>
    <n v="5"/>
    <s v="Completed"/>
    <x v="29"/>
    <n v="56.8"/>
    <s v="December"/>
  </r>
  <r>
    <s v="N068"/>
    <x v="7"/>
    <s v="Romance"/>
    <s v="Korean"/>
    <n v="2020"/>
    <n v="1"/>
    <s v="Completed"/>
    <x v="0"/>
    <n v="19.100000000000001"/>
    <s v="October"/>
  </r>
  <r>
    <s v="N069"/>
    <x v="20"/>
    <s v="Action"/>
    <s v="English"/>
    <n v="2024"/>
    <n v="7"/>
    <s v="Plan to Watch"/>
    <x v="3"/>
    <n v="50.4"/>
    <s v="January"/>
  </r>
  <r>
    <s v="N070"/>
    <x v="3"/>
    <s v="Fantasy"/>
    <s v="French"/>
    <n v="2016"/>
    <n v="5"/>
    <s v="Plan to Watch"/>
    <x v="8"/>
    <n v="23.8"/>
    <s v="February"/>
  </r>
  <r>
    <s v="N071"/>
    <x v="13"/>
    <s v="Sci-Fi"/>
    <s v="English"/>
    <n v="2016"/>
    <n v="2"/>
    <s v="Watching"/>
    <x v="13"/>
    <n v="49.4"/>
    <s v="March"/>
  </r>
  <r>
    <s v="N072"/>
    <x v="34"/>
    <s v="Drama"/>
    <s v="English"/>
    <n v="2017"/>
    <n v="7"/>
    <s v="Completed"/>
    <x v="4"/>
    <n v="15.9"/>
    <s v="May"/>
  </r>
  <r>
    <s v="N073"/>
    <x v="35"/>
    <s v="Romance"/>
    <s v="German"/>
    <n v="2017"/>
    <n v="6"/>
    <s v="Plan to Watch"/>
    <x v="30"/>
    <n v="57.9"/>
    <s v="January"/>
  </r>
  <r>
    <s v="N074"/>
    <x v="4"/>
    <s v="Horror"/>
    <s v="Spanish"/>
    <n v="2022"/>
    <n v="7"/>
    <s v="Completed"/>
    <x v="15"/>
    <n v="24"/>
    <s v="February"/>
  </r>
  <r>
    <s v="N075"/>
    <x v="19"/>
    <s v="Fantasy"/>
    <s v="Hindi"/>
    <n v="2017"/>
    <n v="2"/>
    <s v="Completed"/>
    <x v="22"/>
    <n v="50.4"/>
    <s v="July"/>
  </r>
  <r>
    <s v="N076"/>
    <x v="36"/>
    <s v="Mystery"/>
    <s v="Korean"/>
    <n v="2023"/>
    <n v="2"/>
    <s v="Completed"/>
    <x v="27"/>
    <n v="9.1999999999999993"/>
    <s v="February"/>
  </r>
  <r>
    <s v="N077"/>
    <x v="7"/>
    <s v="Romance"/>
    <s v="German"/>
    <n v="2017"/>
    <n v="3"/>
    <s v="Completed"/>
    <x v="19"/>
    <n v="9.4"/>
    <s v="May"/>
  </r>
  <r>
    <s v="N078"/>
    <x v="0"/>
    <s v="Drama"/>
    <s v="German"/>
    <n v="2024"/>
    <n v="6"/>
    <s v="Completed"/>
    <x v="15"/>
    <n v="59.2"/>
    <s v="December"/>
  </r>
  <r>
    <s v="N079"/>
    <x v="11"/>
    <s v="Crime"/>
    <s v="Spanish"/>
    <n v="2024"/>
    <n v="2"/>
    <s v="Completed"/>
    <x v="13"/>
    <n v="37.299999999999997"/>
    <s v="July"/>
  </r>
  <r>
    <s v="N080"/>
    <x v="3"/>
    <s v="Fantasy"/>
    <s v="Hindi"/>
    <n v="2016"/>
    <n v="1"/>
    <s v="Completed"/>
    <x v="6"/>
    <n v="40.6"/>
    <s v="July"/>
  </r>
  <r>
    <s v="N081"/>
    <x v="36"/>
    <s v="Drama"/>
    <s v="German"/>
    <n v="2016"/>
    <n v="5"/>
    <s v="Watching"/>
    <x v="8"/>
    <n v="20.100000000000001"/>
    <s v="October"/>
  </r>
  <r>
    <s v="N082"/>
    <x v="32"/>
    <s v="Romance"/>
    <s v="Korean"/>
    <n v="2020"/>
    <n v="1"/>
    <s v="Completed"/>
    <x v="12"/>
    <n v="58.3"/>
    <s v="January"/>
  </r>
  <r>
    <s v="N083"/>
    <x v="0"/>
    <s v="Drama"/>
    <s v="Hindi"/>
    <n v="2020"/>
    <n v="1"/>
    <s v="Watching"/>
    <x v="23"/>
    <n v="57.7"/>
    <s v="February"/>
  </r>
  <r>
    <s v="N084"/>
    <x v="11"/>
    <s v="Romance"/>
    <s v="Korean"/>
    <n v="2015"/>
    <n v="8"/>
    <s v="Watching"/>
    <x v="0"/>
    <n v="39.9"/>
    <s v="March"/>
  </r>
  <r>
    <s v="N085"/>
    <x v="37"/>
    <s v="Romance"/>
    <s v="Hindi"/>
    <n v="2022"/>
    <n v="6"/>
    <s v="Completed"/>
    <x v="25"/>
    <n v="16.3"/>
    <s v="April"/>
  </r>
  <r>
    <s v="N086"/>
    <x v="20"/>
    <s v="Fantasy"/>
    <s v="Spanish"/>
    <n v="2017"/>
    <n v="8"/>
    <s v="Plan to Watch"/>
    <x v="13"/>
    <n v="23.2"/>
    <s v="March"/>
  </r>
  <r>
    <s v="N087"/>
    <x v="12"/>
    <s v="Action"/>
    <s v="French"/>
    <n v="2023"/>
    <n v="5"/>
    <s v="Completed"/>
    <x v="0"/>
    <n v="48.7"/>
    <s v="December"/>
  </r>
  <r>
    <s v="N088"/>
    <x v="7"/>
    <s v="Action"/>
    <s v="German"/>
    <n v="2015"/>
    <n v="4"/>
    <s v="Completed"/>
    <x v="0"/>
    <n v="59.4"/>
    <s v="March"/>
  </r>
  <r>
    <s v="N089"/>
    <x v="5"/>
    <s v="Mystery"/>
    <s v="Spanish"/>
    <n v="2019"/>
    <n v="2"/>
    <s v="Completed"/>
    <x v="24"/>
    <n v="52.2"/>
    <s v="February"/>
  </r>
  <r>
    <s v="N090"/>
    <x v="22"/>
    <s v="Sci-Fi"/>
    <s v="Hindi"/>
    <n v="2021"/>
    <n v="3"/>
    <s v="Plan to Watch"/>
    <x v="4"/>
    <n v="12.9"/>
    <s v="July"/>
  </r>
  <r>
    <s v="N091"/>
    <x v="14"/>
    <s v="Crime"/>
    <s v="German"/>
    <n v="2023"/>
    <n v="1"/>
    <s v="Completed"/>
    <x v="28"/>
    <n v="15.9"/>
    <s v="January"/>
  </r>
  <r>
    <s v="N092"/>
    <x v="27"/>
    <s v="Mystery"/>
    <s v="English"/>
    <n v="2023"/>
    <n v="3"/>
    <s v="Watching"/>
    <x v="9"/>
    <n v="18.100000000000001"/>
    <s v="May"/>
  </r>
  <r>
    <s v="N093"/>
    <x v="9"/>
    <s v="Action"/>
    <s v="Spanish"/>
    <n v="2017"/>
    <n v="6"/>
    <s v="Completed"/>
    <x v="20"/>
    <n v="23.7"/>
    <s v="May"/>
  </r>
  <r>
    <s v="N094"/>
    <x v="38"/>
    <s v="Thriller"/>
    <s v="English"/>
    <n v="2016"/>
    <n v="1"/>
    <s v="Watching"/>
    <x v="5"/>
    <n v="29.3"/>
    <s v="August"/>
  </r>
  <r>
    <s v="N095"/>
    <x v="27"/>
    <s v="Sci-Fi"/>
    <s v="German"/>
    <n v="2024"/>
    <n v="3"/>
    <s v="Completed"/>
    <x v="6"/>
    <n v="34.4"/>
    <s v="March"/>
  </r>
  <r>
    <s v="N096"/>
    <x v="20"/>
    <s v="Sci-Fi"/>
    <s v="Korean"/>
    <n v="2023"/>
    <n v="8"/>
    <s v="Watching"/>
    <x v="27"/>
    <n v="43.3"/>
    <s v="October"/>
  </r>
  <r>
    <s v="N097"/>
    <x v="19"/>
    <s v="Comedy"/>
    <s v="French"/>
    <n v="2022"/>
    <n v="4"/>
    <s v="Completed"/>
    <x v="27"/>
    <n v="43.7"/>
    <s v="July"/>
  </r>
  <r>
    <s v="N098"/>
    <x v="35"/>
    <s v="Romance"/>
    <s v="German"/>
    <n v="2018"/>
    <n v="7"/>
    <s v="Watching"/>
    <x v="16"/>
    <n v="13.9"/>
    <s v="June"/>
  </r>
  <r>
    <s v="N099"/>
    <x v="32"/>
    <s v="Crime"/>
    <s v="German"/>
    <n v="2017"/>
    <n v="7"/>
    <s v="Watching"/>
    <x v="20"/>
    <n v="29.4"/>
    <s v="November"/>
  </r>
  <r>
    <s v="N100"/>
    <x v="21"/>
    <s v="Action"/>
    <s v="French"/>
    <n v="2016"/>
    <n v="8"/>
    <s v="Completed"/>
    <x v="2"/>
    <n v="11.4"/>
    <s v="August"/>
  </r>
  <r>
    <s v="N101"/>
    <x v="37"/>
    <s v="Romance"/>
    <s v="German"/>
    <n v="2016"/>
    <n v="8"/>
    <s v="Completed"/>
    <x v="3"/>
    <n v="36.9"/>
    <s v="October"/>
  </r>
  <r>
    <s v="N102"/>
    <x v="25"/>
    <s v="Drama"/>
    <s v="German"/>
    <n v="2024"/>
    <n v="6"/>
    <s v="Completed"/>
    <x v="15"/>
    <n v="51.4"/>
    <s v="July"/>
  </r>
  <r>
    <s v="N103"/>
    <x v="24"/>
    <s v="Fantasy"/>
    <s v="French"/>
    <n v="2024"/>
    <n v="4"/>
    <s v="Completed"/>
    <x v="7"/>
    <n v="55.9"/>
    <s v="December"/>
  </r>
  <r>
    <s v="N104"/>
    <x v="9"/>
    <s v="Horror"/>
    <s v="Korean"/>
    <n v="2017"/>
    <n v="2"/>
    <s v="Completed"/>
    <x v="15"/>
    <n v="35.799999999999997"/>
    <s v="August"/>
  </r>
  <r>
    <s v="N105"/>
    <x v="4"/>
    <s v="Crime"/>
    <s v="German"/>
    <n v="2017"/>
    <n v="2"/>
    <s v="Watching"/>
    <x v="2"/>
    <n v="17.899999999999999"/>
    <s v="August"/>
  </r>
  <r>
    <s v="N106"/>
    <x v="36"/>
    <s v="Sci-Fi"/>
    <s v="Spanish"/>
    <n v="2020"/>
    <n v="8"/>
    <s v="Completed"/>
    <x v="31"/>
    <n v="59.5"/>
    <s v="June"/>
  </r>
  <r>
    <s v="N107"/>
    <x v="1"/>
    <s v="Fantasy"/>
    <s v="Spanish"/>
    <n v="2016"/>
    <n v="3"/>
    <s v="Completed"/>
    <x v="25"/>
    <n v="14.3"/>
    <s v="July"/>
  </r>
  <r>
    <s v="N108"/>
    <x v="0"/>
    <s v="Mystery"/>
    <s v="Spanish"/>
    <n v="2018"/>
    <n v="8"/>
    <s v="Completed"/>
    <x v="18"/>
    <n v="36.4"/>
    <s v="May"/>
  </r>
  <r>
    <s v="N109"/>
    <x v="36"/>
    <s v="Thriller"/>
    <s v="German"/>
    <n v="2021"/>
    <n v="7"/>
    <s v="Watching"/>
    <x v="31"/>
    <n v="44.7"/>
    <s v="November"/>
  </r>
  <r>
    <s v="N110"/>
    <x v="14"/>
    <s v="Fantasy"/>
    <s v="Korean"/>
    <n v="2016"/>
    <n v="7"/>
    <s v="Completed"/>
    <x v="16"/>
    <n v="21.2"/>
    <s v="December"/>
  </r>
  <r>
    <s v="N111"/>
    <x v="9"/>
    <s v="Thriller"/>
    <s v="Korean"/>
    <n v="2019"/>
    <n v="2"/>
    <s v="Completed"/>
    <x v="11"/>
    <n v="36"/>
    <s v="August"/>
  </r>
  <r>
    <s v="N112"/>
    <x v="5"/>
    <s v="Fantasy"/>
    <s v="Korean"/>
    <n v="2022"/>
    <n v="2"/>
    <s v="Completed"/>
    <x v="17"/>
    <n v="21.1"/>
    <s v="December"/>
  </r>
  <r>
    <s v="N113"/>
    <x v="10"/>
    <s v="Horror"/>
    <s v="Hindi"/>
    <n v="2017"/>
    <n v="5"/>
    <s v="Plan to Watch"/>
    <x v="21"/>
    <n v="50.7"/>
    <s v="December"/>
  </r>
  <r>
    <s v="N114"/>
    <x v="18"/>
    <s v="Horror"/>
    <s v="French"/>
    <n v="2024"/>
    <n v="4"/>
    <s v="Completed"/>
    <x v="31"/>
    <n v="56.7"/>
    <s v="October"/>
  </r>
  <r>
    <s v="N115"/>
    <x v="11"/>
    <s v="Romance"/>
    <s v="English"/>
    <n v="2021"/>
    <n v="4"/>
    <s v="Plan to Watch"/>
    <x v="1"/>
    <n v="12"/>
    <s v="June"/>
  </r>
  <r>
    <s v="N116"/>
    <x v="31"/>
    <s v="Drama"/>
    <s v="French"/>
    <n v="2022"/>
    <n v="1"/>
    <s v="Completed"/>
    <x v="6"/>
    <n v="51.1"/>
    <s v="July"/>
  </r>
  <r>
    <s v="N117"/>
    <x v="1"/>
    <s v="Mystery"/>
    <s v="French"/>
    <n v="2017"/>
    <n v="2"/>
    <s v="Watching"/>
    <x v="3"/>
    <n v="42.3"/>
    <s v="July"/>
  </r>
  <r>
    <s v="N118"/>
    <x v="32"/>
    <s v="Mystery"/>
    <s v="Korean"/>
    <n v="2018"/>
    <n v="6"/>
    <s v="Completed"/>
    <x v="20"/>
    <n v="17.3"/>
    <s v="July"/>
  </r>
  <r>
    <s v="N119"/>
    <x v="12"/>
    <s v="Fantasy"/>
    <s v="Spanish"/>
    <n v="2015"/>
    <n v="7"/>
    <s v="Watching"/>
    <x v="4"/>
    <n v="19.8"/>
    <s v="November"/>
  </r>
  <r>
    <s v="N120"/>
    <x v="24"/>
    <s v="Drama"/>
    <s v="English"/>
    <n v="2017"/>
    <n v="2"/>
    <s v="Completed"/>
    <x v="19"/>
    <n v="59.7"/>
    <s v="October"/>
  </r>
  <r>
    <s v="N121"/>
    <x v="13"/>
    <s v="Comedy"/>
    <s v="French"/>
    <n v="2017"/>
    <n v="6"/>
    <s v="Completed"/>
    <x v="4"/>
    <n v="13.3"/>
    <s v="March"/>
  </r>
  <r>
    <s v="N122"/>
    <x v="2"/>
    <s v="Action"/>
    <s v="German"/>
    <n v="2022"/>
    <n v="3"/>
    <s v="Watching"/>
    <x v="17"/>
    <n v="43.7"/>
    <s v="June"/>
  </r>
  <r>
    <s v="N123"/>
    <x v="33"/>
    <s v="Drama"/>
    <s v="Spanish"/>
    <n v="2021"/>
    <n v="6"/>
    <s v="Completed"/>
    <x v="5"/>
    <n v="10.7"/>
    <s v="May"/>
  </r>
  <r>
    <s v="N124"/>
    <x v="8"/>
    <s v="Thriller"/>
    <s v="Hindi"/>
    <n v="2015"/>
    <n v="6"/>
    <s v="Watching"/>
    <x v="4"/>
    <n v="12.4"/>
    <s v="July"/>
  </r>
  <r>
    <s v="N125"/>
    <x v="17"/>
    <s v="Horror"/>
    <s v="Hindi"/>
    <n v="2023"/>
    <n v="6"/>
    <s v="Completed"/>
    <x v="30"/>
    <n v="27"/>
    <s v="February"/>
  </r>
  <r>
    <s v="N126"/>
    <x v="30"/>
    <s v="Drama"/>
    <s v="English"/>
    <n v="2022"/>
    <n v="1"/>
    <s v="Plan to Watch"/>
    <x v="16"/>
    <n v="10"/>
    <s v="September"/>
  </r>
  <r>
    <s v="N127"/>
    <x v="5"/>
    <s v="Thriller"/>
    <s v="German"/>
    <n v="2015"/>
    <n v="1"/>
    <s v="Plan to Watch"/>
    <x v="15"/>
    <n v="29.5"/>
    <s v="May"/>
  </r>
  <r>
    <s v="N128"/>
    <x v="32"/>
    <s v="Action"/>
    <s v="German"/>
    <n v="2025"/>
    <n v="5"/>
    <s v="Completed"/>
    <x v="11"/>
    <n v="24.2"/>
    <s v="December"/>
  </r>
  <r>
    <s v="N129"/>
    <x v="18"/>
    <s v="Comedy"/>
    <s v="Spanish"/>
    <n v="2025"/>
    <n v="4"/>
    <s v="Completed"/>
    <x v="4"/>
    <n v="56"/>
    <s v="August"/>
  </r>
  <r>
    <s v="N130"/>
    <x v="27"/>
    <s v="Comedy"/>
    <s v="French"/>
    <n v="2024"/>
    <n v="8"/>
    <s v="Completed"/>
    <x v="7"/>
    <n v="17.399999999999999"/>
    <s v="July"/>
  </r>
  <r>
    <s v="N131"/>
    <x v="17"/>
    <s v="Sci-Fi"/>
    <s v="German"/>
    <n v="2023"/>
    <n v="4"/>
    <s v="Completed"/>
    <x v="5"/>
    <n v="10.1"/>
    <s v="November"/>
  </r>
  <r>
    <s v="N132"/>
    <x v="10"/>
    <s v="Romance"/>
    <s v="French"/>
    <n v="2016"/>
    <n v="7"/>
    <s v="Completed"/>
    <x v="16"/>
    <n v="18.5"/>
    <s v="August"/>
  </r>
  <r>
    <s v="N133"/>
    <x v="16"/>
    <s v="Comedy"/>
    <s v="English"/>
    <n v="2023"/>
    <n v="7"/>
    <s v="Plan to Watch"/>
    <x v="32"/>
    <n v="21.1"/>
    <s v="January"/>
  </r>
  <r>
    <s v="N134"/>
    <x v="3"/>
    <s v="Sci-Fi"/>
    <s v="Spanish"/>
    <n v="2015"/>
    <n v="5"/>
    <s v="Watching"/>
    <x v="27"/>
    <n v="50.6"/>
    <s v="September"/>
  </r>
  <r>
    <s v="N135"/>
    <x v="35"/>
    <s v="Romance"/>
    <s v="Korean"/>
    <n v="2016"/>
    <n v="5"/>
    <s v="Plan to Watch"/>
    <x v="12"/>
    <n v="40.1"/>
    <s v="April"/>
  </r>
  <r>
    <s v="N136"/>
    <x v="10"/>
    <s v="Crime"/>
    <s v="Spanish"/>
    <n v="2019"/>
    <n v="3"/>
    <s v="Completed"/>
    <x v="18"/>
    <n v="57.5"/>
    <s v="June"/>
  </r>
  <r>
    <s v="N137"/>
    <x v="26"/>
    <s v="Horror"/>
    <s v="French"/>
    <n v="2023"/>
    <n v="1"/>
    <s v="Completed"/>
    <x v="4"/>
    <n v="57.5"/>
    <s v="May"/>
  </r>
  <r>
    <s v="N138"/>
    <x v="39"/>
    <s v="Drama"/>
    <s v="German"/>
    <n v="2016"/>
    <n v="1"/>
    <s v="Completed"/>
    <x v="31"/>
    <n v="22.1"/>
    <s v="April"/>
  </r>
  <r>
    <s v="N139"/>
    <x v="39"/>
    <s v="Romance"/>
    <s v="German"/>
    <n v="2021"/>
    <n v="3"/>
    <s v="Completed"/>
    <x v="30"/>
    <n v="36.1"/>
    <s v="September"/>
  </r>
  <r>
    <s v="N140"/>
    <x v="25"/>
    <s v="Fantasy"/>
    <s v="Spanish"/>
    <n v="2025"/>
    <n v="7"/>
    <s v="Completed"/>
    <x v="33"/>
    <n v="26.7"/>
    <s v="January"/>
  </r>
  <r>
    <s v="N141"/>
    <x v="24"/>
    <s v="Drama"/>
    <s v="Spanish"/>
    <n v="2017"/>
    <n v="5"/>
    <s v="Plan to Watch"/>
    <x v="22"/>
    <n v="16.8"/>
    <s v="September"/>
  </r>
  <r>
    <s v="N142"/>
    <x v="32"/>
    <s v="Sci-Fi"/>
    <s v="French"/>
    <n v="2017"/>
    <n v="1"/>
    <s v="Completed"/>
    <x v="15"/>
    <n v="8.1999999999999993"/>
    <s v="August"/>
  </r>
  <r>
    <s v="N143"/>
    <x v="13"/>
    <s v="Comedy"/>
    <s v="French"/>
    <n v="2018"/>
    <n v="8"/>
    <s v="Completed"/>
    <x v="27"/>
    <n v="8.9"/>
    <s v="March"/>
  </r>
  <r>
    <s v="N144"/>
    <x v="22"/>
    <s v="Action"/>
    <s v="Korean"/>
    <n v="2017"/>
    <n v="7"/>
    <s v="Watching"/>
    <x v="20"/>
    <n v="17.7"/>
    <s v="February"/>
  </r>
  <r>
    <s v="N145"/>
    <x v="9"/>
    <s v="Crime"/>
    <s v="German"/>
    <n v="2015"/>
    <n v="8"/>
    <s v="Completed"/>
    <x v="32"/>
    <n v="9.9"/>
    <s v="August"/>
  </r>
  <r>
    <s v="N146"/>
    <x v="12"/>
    <s v="Romance"/>
    <s v="French"/>
    <n v="2024"/>
    <n v="3"/>
    <s v="Completed"/>
    <x v="3"/>
    <n v="38.6"/>
    <s v="July"/>
  </r>
  <r>
    <s v="N147"/>
    <x v="40"/>
    <s v="Horror"/>
    <s v="English"/>
    <n v="2016"/>
    <n v="7"/>
    <s v="Completed"/>
    <x v="25"/>
    <n v="40.4"/>
    <s v="March"/>
  </r>
  <r>
    <s v="N148"/>
    <x v="12"/>
    <s v="Drama"/>
    <s v="Korean"/>
    <n v="2024"/>
    <n v="4"/>
    <s v="Plan to Watch"/>
    <x v="26"/>
    <n v="51.5"/>
    <s v="April"/>
  </r>
  <r>
    <s v="N149"/>
    <x v="24"/>
    <s v="Drama"/>
    <s v="Spanish"/>
    <n v="2025"/>
    <n v="5"/>
    <s v="Completed"/>
    <x v="9"/>
    <n v="30.2"/>
    <s v="December"/>
  </r>
  <r>
    <s v="N150"/>
    <x v="22"/>
    <s v="Horror"/>
    <s v="French"/>
    <n v="2019"/>
    <n v="6"/>
    <s v="Watching"/>
    <x v="6"/>
    <n v="11.2"/>
    <s v="April"/>
  </r>
  <r>
    <s v="N151"/>
    <x v="31"/>
    <s v="Comedy"/>
    <s v="Spanish"/>
    <n v="2021"/>
    <n v="7"/>
    <s v="Completed"/>
    <x v="0"/>
    <n v="14.2"/>
    <s v="April"/>
  </r>
  <r>
    <s v="N152"/>
    <x v="0"/>
    <s v="Fantasy"/>
    <s v="English"/>
    <n v="2022"/>
    <n v="1"/>
    <s v="Completed"/>
    <x v="9"/>
    <n v="47"/>
    <s v="June"/>
  </r>
  <r>
    <s v="N153"/>
    <x v="37"/>
    <s v="Action"/>
    <s v="English"/>
    <n v="2016"/>
    <n v="7"/>
    <s v="Completed"/>
    <x v="16"/>
    <n v="55.3"/>
    <s v="June"/>
  </r>
  <r>
    <s v="N154"/>
    <x v="13"/>
    <s v="Thriller"/>
    <s v="German"/>
    <n v="2018"/>
    <n v="7"/>
    <s v="Completed"/>
    <x v="2"/>
    <n v="30.9"/>
    <s v="October"/>
  </r>
  <r>
    <s v="N155"/>
    <x v="20"/>
    <s v="Thriller"/>
    <s v="Spanish"/>
    <n v="2018"/>
    <n v="2"/>
    <s v="Completed"/>
    <x v="28"/>
    <n v="54.6"/>
    <s v="August"/>
  </r>
  <r>
    <s v="N156"/>
    <x v="40"/>
    <s v="Action"/>
    <s v="English"/>
    <n v="2023"/>
    <n v="3"/>
    <s v="Completed"/>
    <x v="26"/>
    <n v="27.7"/>
    <s v="August"/>
  </r>
  <r>
    <s v="N157"/>
    <x v="28"/>
    <s v="Romance"/>
    <s v="French"/>
    <n v="2016"/>
    <n v="2"/>
    <s v="Completed"/>
    <x v="25"/>
    <n v="21.8"/>
    <s v="August"/>
  </r>
  <r>
    <s v="N158"/>
    <x v="17"/>
    <s v="Sci-Fi"/>
    <s v="Hindi"/>
    <n v="2015"/>
    <n v="5"/>
    <s v="Watching"/>
    <x v="19"/>
    <n v="55.1"/>
    <s v="June"/>
  </r>
  <r>
    <s v="N159"/>
    <x v="6"/>
    <s v="Horror"/>
    <s v="Hindi"/>
    <n v="2019"/>
    <n v="2"/>
    <s v="Completed"/>
    <x v="24"/>
    <n v="57.5"/>
    <s v="February"/>
  </r>
  <r>
    <s v="N160"/>
    <x v="16"/>
    <s v="Fantasy"/>
    <s v="English"/>
    <n v="2017"/>
    <n v="6"/>
    <s v="Watching"/>
    <x v="6"/>
    <n v="51.1"/>
    <s v="April"/>
  </r>
  <r>
    <s v="N161"/>
    <x v="24"/>
    <s v="Mystery"/>
    <s v="Korean"/>
    <n v="2023"/>
    <n v="5"/>
    <s v="Watching"/>
    <x v="19"/>
    <n v="20.9"/>
    <s v="December"/>
  </r>
  <r>
    <s v="N162"/>
    <x v="23"/>
    <s v="Thriller"/>
    <s v="Korean"/>
    <n v="2020"/>
    <n v="8"/>
    <s v="Completed"/>
    <x v="5"/>
    <n v="21.7"/>
    <s v="April"/>
  </r>
  <r>
    <s v="N163"/>
    <x v="36"/>
    <s v="Crime"/>
    <s v="Spanish"/>
    <n v="2024"/>
    <n v="1"/>
    <s v="Plan to Watch"/>
    <x v="21"/>
    <n v="43.6"/>
    <s v="December"/>
  </r>
  <r>
    <s v="N164"/>
    <x v="18"/>
    <s v="Comedy"/>
    <s v="French"/>
    <n v="2018"/>
    <n v="1"/>
    <s v="Completed"/>
    <x v="28"/>
    <n v="29.6"/>
    <s v="October"/>
  </r>
  <r>
    <s v="N165"/>
    <x v="17"/>
    <s v="Sci-Fi"/>
    <s v="Hindi"/>
    <n v="2021"/>
    <n v="2"/>
    <s v="Completed"/>
    <x v="25"/>
    <n v="27.1"/>
    <s v="April"/>
  </r>
  <r>
    <s v="N166"/>
    <x v="12"/>
    <s v="Sci-Fi"/>
    <s v="Korean"/>
    <n v="2022"/>
    <n v="7"/>
    <s v="Completed"/>
    <x v="10"/>
    <n v="41.7"/>
    <s v="April"/>
  </r>
  <r>
    <s v="N167"/>
    <x v="26"/>
    <s v="Crime"/>
    <s v="Korean"/>
    <n v="2019"/>
    <n v="7"/>
    <s v="Watching"/>
    <x v="4"/>
    <n v="50.6"/>
    <s v="February"/>
  </r>
  <r>
    <s v="N168"/>
    <x v="12"/>
    <s v="Fantasy"/>
    <s v="English"/>
    <n v="2023"/>
    <n v="3"/>
    <s v="Completed"/>
    <x v="2"/>
    <n v="43.1"/>
    <s v="November"/>
  </r>
  <r>
    <s v="N169"/>
    <x v="21"/>
    <s v="Action"/>
    <s v="German"/>
    <n v="2022"/>
    <n v="3"/>
    <s v="Watching"/>
    <x v="29"/>
    <n v="12.2"/>
    <s v="November"/>
  </r>
  <r>
    <s v="N170"/>
    <x v="15"/>
    <s v="Action"/>
    <s v="Hindi"/>
    <n v="2022"/>
    <n v="5"/>
    <s v="Completed"/>
    <x v="16"/>
    <n v="49.3"/>
    <s v="May"/>
  </r>
  <r>
    <s v="N171"/>
    <x v="39"/>
    <s v="Action"/>
    <s v="Hindi"/>
    <n v="2025"/>
    <n v="3"/>
    <s v="Completed"/>
    <x v="17"/>
    <n v="55.1"/>
    <s v="September"/>
  </r>
  <r>
    <s v="N172"/>
    <x v="41"/>
    <s v="Romance"/>
    <s v="Hindi"/>
    <n v="2023"/>
    <n v="3"/>
    <s v="Plan to Watch"/>
    <x v="2"/>
    <n v="44.3"/>
    <s v="August"/>
  </r>
  <r>
    <s v="N173"/>
    <x v="26"/>
    <s v="Action"/>
    <s v="Korean"/>
    <n v="2022"/>
    <n v="5"/>
    <s v="Completed"/>
    <x v="17"/>
    <n v="45.2"/>
    <s v="February"/>
  </r>
  <r>
    <s v="N174"/>
    <x v="11"/>
    <s v="Horror"/>
    <s v="German"/>
    <n v="2021"/>
    <n v="3"/>
    <s v="Completed"/>
    <x v="21"/>
    <n v="33.4"/>
    <s v="May"/>
  </r>
  <r>
    <s v="N175"/>
    <x v="17"/>
    <s v="Thriller"/>
    <s v="Spanish"/>
    <n v="2018"/>
    <n v="6"/>
    <s v="Completed"/>
    <x v="3"/>
    <n v="35.200000000000003"/>
    <s v="October"/>
  </r>
  <r>
    <s v="N176"/>
    <x v="21"/>
    <s v="Sci-Fi"/>
    <s v="English"/>
    <n v="2025"/>
    <n v="4"/>
    <s v="Watching"/>
    <x v="20"/>
    <n v="48.9"/>
    <s v="September"/>
  </r>
  <r>
    <s v="N177"/>
    <x v="18"/>
    <s v="Horror"/>
    <s v="Spanish"/>
    <n v="2017"/>
    <n v="6"/>
    <s v="Completed"/>
    <x v="19"/>
    <n v="50"/>
    <s v="October"/>
  </r>
  <r>
    <s v="N178"/>
    <x v="20"/>
    <s v="Fantasy"/>
    <s v="English"/>
    <n v="2016"/>
    <n v="4"/>
    <s v="Watching"/>
    <x v="12"/>
    <n v="49.3"/>
    <s v="July"/>
  </r>
  <r>
    <s v="N179"/>
    <x v="36"/>
    <s v="Romance"/>
    <s v="German"/>
    <n v="2017"/>
    <n v="5"/>
    <s v="Watching"/>
    <x v="30"/>
    <n v="12.6"/>
    <s v="May"/>
  </r>
  <r>
    <s v="N180"/>
    <x v="8"/>
    <s v="Thriller"/>
    <s v="French"/>
    <n v="2023"/>
    <n v="6"/>
    <s v="Completed"/>
    <x v="0"/>
    <n v="8.6"/>
    <s v="November"/>
  </r>
  <r>
    <s v="N181"/>
    <x v="10"/>
    <s v="Sci-Fi"/>
    <s v="Hindi"/>
    <n v="2020"/>
    <n v="6"/>
    <s v="Completed"/>
    <x v="1"/>
    <n v="42"/>
    <s v="January"/>
  </r>
  <r>
    <s v="N182"/>
    <x v="40"/>
    <s v="Fantasy"/>
    <s v="Spanish"/>
    <n v="2017"/>
    <n v="2"/>
    <s v="Watching"/>
    <x v="32"/>
    <n v="9.4"/>
    <s v="July"/>
  </r>
  <r>
    <s v="N183"/>
    <x v="8"/>
    <s v="Thriller"/>
    <s v="Hindi"/>
    <n v="2018"/>
    <n v="7"/>
    <s v="Completed"/>
    <x v="0"/>
    <n v="19.600000000000001"/>
    <s v="July"/>
  </r>
  <r>
    <s v="N184"/>
    <x v="39"/>
    <s v="Drama"/>
    <s v="Spanish"/>
    <n v="2018"/>
    <n v="5"/>
    <s v="Completed"/>
    <x v="24"/>
    <n v="18.5"/>
    <s v="September"/>
  </r>
  <r>
    <s v="N185"/>
    <x v="41"/>
    <s v="Action"/>
    <s v="German"/>
    <n v="2023"/>
    <n v="7"/>
    <s v="Completed"/>
    <x v="18"/>
    <n v="16.5"/>
    <s v="February"/>
  </r>
  <r>
    <s v="N186"/>
    <x v="35"/>
    <s v="Horror"/>
    <s v="Korean"/>
    <n v="2022"/>
    <n v="4"/>
    <s v="Completed"/>
    <x v="30"/>
    <n v="24.6"/>
    <s v="June"/>
  </r>
  <r>
    <s v="N187"/>
    <x v="23"/>
    <s v="Crime"/>
    <s v="English"/>
    <n v="2022"/>
    <n v="2"/>
    <s v="Completed"/>
    <x v="21"/>
    <n v="54.3"/>
    <s v="May"/>
  </r>
  <r>
    <s v="N188"/>
    <x v="16"/>
    <s v="Fantasy"/>
    <s v="French"/>
    <n v="2025"/>
    <n v="1"/>
    <s v="Completed"/>
    <x v="4"/>
    <n v="52.9"/>
    <s v="April"/>
  </r>
  <r>
    <s v="N189"/>
    <x v="16"/>
    <s v="Fantasy"/>
    <s v="German"/>
    <n v="2020"/>
    <n v="8"/>
    <s v="Plan to Watch"/>
    <x v="2"/>
    <n v="11.9"/>
    <s v="January"/>
  </r>
  <r>
    <s v="N190"/>
    <x v="37"/>
    <s v="Crime"/>
    <s v="Hindi"/>
    <n v="2019"/>
    <n v="7"/>
    <s v="Plan to Watch"/>
    <x v="30"/>
    <n v="29.6"/>
    <s v="January"/>
  </r>
  <r>
    <s v="N191"/>
    <x v="37"/>
    <s v="Romance"/>
    <s v="German"/>
    <n v="2016"/>
    <n v="4"/>
    <s v="Completed"/>
    <x v="10"/>
    <n v="18.8"/>
    <s v="June"/>
  </r>
  <r>
    <s v="N192"/>
    <x v="9"/>
    <s v="Action"/>
    <s v="German"/>
    <n v="2019"/>
    <n v="2"/>
    <s v="Completed"/>
    <x v="4"/>
    <n v="52.8"/>
    <s v="May"/>
  </r>
  <r>
    <s v="N193"/>
    <x v="14"/>
    <s v="Romance"/>
    <s v="Spanish"/>
    <n v="2015"/>
    <n v="4"/>
    <s v="Watching"/>
    <x v="26"/>
    <n v="52.7"/>
    <s v="September"/>
  </r>
  <r>
    <s v="N194"/>
    <x v="27"/>
    <s v="Romance"/>
    <s v="French"/>
    <n v="2018"/>
    <n v="3"/>
    <s v="Completed"/>
    <x v="32"/>
    <n v="24.4"/>
    <s v="June"/>
  </r>
  <r>
    <s v="N195"/>
    <x v="6"/>
    <s v="Horror"/>
    <s v="Korean"/>
    <n v="2022"/>
    <n v="3"/>
    <s v="Completed"/>
    <x v="12"/>
    <n v="39"/>
    <s v="November"/>
  </r>
  <r>
    <s v="N196"/>
    <x v="25"/>
    <s v="Comedy"/>
    <s v="French"/>
    <n v="2019"/>
    <n v="2"/>
    <s v="Completed"/>
    <x v="19"/>
    <n v="19.100000000000001"/>
    <s v="February"/>
  </r>
  <r>
    <s v="N197"/>
    <x v="10"/>
    <s v="Horror"/>
    <s v="Hindi"/>
    <n v="2018"/>
    <n v="6"/>
    <s v="Watching"/>
    <x v="25"/>
    <n v="40.4"/>
    <s v="July"/>
  </r>
  <r>
    <s v="N198"/>
    <x v="28"/>
    <s v="Sci-Fi"/>
    <s v="Hindi"/>
    <n v="2018"/>
    <n v="3"/>
    <s v="Completed"/>
    <x v="15"/>
    <n v="58.7"/>
    <s v="August"/>
  </r>
  <r>
    <s v="N199"/>
    <x v="9"/>
    <s v="Thriller"/>
    <s v="Korean"/>
    <n v="2024"/>
    <n v="1"/>
    <s v="Plan to Watch"/>
    <x v="33"/>
    <n v="50.2"/>
    <s v="April"/>
  </r>
  <r>
    <s v="N200"/>
    <x v="5"/>
    <s v="Crime"/>
    <s v="Korean"/>
    <n v="2024"/>
    <n v="4"/>
    <s v="Watching"/>
    <x v="12"/>
    <n v="25.7"/>
    <s v="Septemb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French"/>
    <n v="2022"/>
    <n v="4"/>
    <s v="Watching"/>
    <n v="6.8"/>
    <n v="56.5"/>
  </r>
  <r>
    <x v="1"/>
    <s v="English"/>
    <n v="2018"/>
    <n v="2"/>
    <s v="Watching"/>
    <n v="8.1"/>
    <n v="15.7"/>
  </r>
  <r>
    <x v="2"/>
    <s v="Hindi"/>
    <n v="2018"/>
    <n v="2"/>
    <s v="Completed"/>
    <n v="6.8"/>
    <n v="37.700000000000003"/>
  </r>
  <r>
    <x v="3"/>
    <s v="French"/>
    <n v="2021"/>
    <n v="2"/>
    <s v="Completed"/>
    <n v="7.1"/>
    <n v="11.4"/>
  </r>
  <r>
    <x v="2"/>
    <s v="French"/>
    <n v="2019"/>
    <n v="6"/>
    <s v="Completed"/>
    <n v="9.1999999999999993"/>
    <n v="17.5"/>
  </r>
  <r>
    <x v="4"/>
    <s v="French"/>
    <n v="2020"/>
    <n v="4"/>
    <s v="Watching"/>
    <n v="6.8"/>
    <n v="28.3"/>
  </r>
  <r>
    <x v="5"/>
    <s v="French"/>
    <n v="2015"/>
    <n v="2"/>
    <s v="Completed"/>
    <n v="8.1"/>
    <n v="29"/>
  </r>
  <r>
    <x v="6"/>
    <s v="French"/>
    <n v="2025"/>
    <n v="1"/>
    <s v="Watching"/>
    <n v="6.6"/>
    <n v="13.7"/>
  </r>
  <r>
    <x v="0"/>
    <s v="Korean"/>
    <n v="2016"/>
    <n v="4"/>
    <s v="Watching"/>
    <n v="7.6"/>
    <n v="22.3"/>
  </r>
  <r>
    <x v="0"/>
    <s v="Hindi"/>
    <n v="2024"/>
    <n v="8"/>
    <s v="Watching"/>
    <n v="9"/>
    <n v="32.1"/>
  </r>
  <r>
    <x v="7"/>
    <s v="Korean"/>
    <n v="2023"/>
    <n v="1"/>
    <s v="Completed"/>
    <n v="7.8"/>
    <n v="35.4"/>
  </r>
  <r>
    <x v="6"/>
    <s v="Hindi"/>
    <n v="2016"/>
    <n v="8"/>
    <s v="Completed"/>
    <n v="7.8"/>
    <n v="45.4"/>
  </r>
  <r>
    <x v="5"/>
    <s v="English"/>
    <n v="2020"/>
    <n v="8"/>
    <s v="Watching"/>
    <n v="9.6999999999999993"/>
    <n v="48.1"/>
  </r>
  <r>
    <x v="4"/>
    <s v="Korean"/>
    <n v="2016"/>
    <n v="5"/>
    <s v="Completed"/>
    <n v="8.6999999999999993"/>
    <n v="53"/>
  </r>
  <r>
    <x v="1"/>
    <s v="Hindi"/>
    <n v="2023"/>
    <n v="5"/>
    <s v="Plan to Watch"/>
    <n v="6.7"/>
    <n v="59.3"/>
  </r>
  <r>
    <x v="8"/>
    <s v="English"/>
    <n v="2025"/>
    <n v="8"/>
    <s v="Completed"/>
    <n v="7.3"/>
    <n v="53.3"/>
  </r>
  <r>
    <x v="1"/>
    <s v="Spanish"/>
    <n v="2017"/>
    <n v="6"/>
    <s v="Completed"/>
    <n v="9.3000000000000007"/>
    <n v="24.4"/>
  </r>
  <r>
    <x v="8"/>
    <s v="Korean"/>
    <n v="2022"/>
    <n v="8"/>
    <s v="Completed"/>
    <n v="8.6"/>
    <n v="19.399999999999999"/>
  </r>
  <r>
    <x v="7"/>
    <s v="Hindi"/>
    <n v="2025"/>
    <n v="1"/>
    <s v="Watching"/>
    <n v="8.4"/>
    <n v="35.799999999999997"/>
  </r>
  <r>
    <x v="2"/>
    <s v="Spanish"/>
    <n v="2025"/>
    <n v="8"/>
    <s v="Watching"/>
    <n v="8.8000000000000007"/>
    <n v="46.8"/>
  </r>
  <r>
    <x v="6"/>
    <s v="French"/>
    <n v="2022"/>
    <n v="4"/>
    <s v="Completed"/>
    <n v="8.9"/>
    <n v="40.700000000000003"/>
  </r>
  <r>
    <x v="6"/>
    <s v="French"/>
    <n v="2023"/>
    <n v="3"/>
    <s v="Completed"/>
    <n v="9.5"/>
    <n v="42"/>
  </r>
  <r>
    <x v="6"/>
    <s v="Hindi"/>
    <n v="2016"/>
    <n v="2"/>
    <s v="Completed"/>
    <n v="9.1999999999999993"/>
    <n v="59.1"/>
  </r>
  <r>
    <x v="8"/>
    <s v="Korean"/>
    <n v="2020"/>
    <n v="1"/>
    <s v="Watching"/>
    <n v="6.9"/>
    <n v="40.1"/>
  </r>
  <r>
    <x v="3"/>
    <s v="French"/>
    <n v="2017"/>
    <n v="4"/>
    <s v="Completed"/>
    <n v="8.9"/>
    <n v="22.2"/>
  </r>
  <r>
    <x v="1"/>
    <s v="Hindi"/>
    <n v="2024"/>
    <n v="3"/>
    <s v="Completed"/>
    <n v="9.3000000000000007"/>
    <n v="49.8"/>
  </r>
  <r>
    <x v="8"/>
    <s v="Spanish"/>
    <n v="2017"/>
    <n v="6"/>
    <s v="Completed"/>
    <n v="9.6999999999999993"/>
    <n v="35.799999999999997"/>
  </r>
  <r>
    <x v="1"/>
    <s v="French"/>
    <n v="2021"/>
    <n v="6"/>
    <s v="Completed"/>
    <n v="9"/>
    <n v="13.8"/>
  </r>
  <r>
    <x v="4"/>
    <s v="German"/>
    <n v="2018"/>
    <n v="2"/>
    <s v="Watching"/>
    <n v="9.1"/>
    <n v="45.3"/>
  </r>
  <r>
    <x v="8"/>
    <s v="German"/>
    <n v="2015"/>
    <n v="5"/>
    <s v="Completed"/>
    <n v="8.9"/>
    <n v="29.7"/>
  </r>
  <r>
    <x v="2"/>
    <s v="French"/>
    <n v="2023"/>
    <n v="6"/>
    <s v="Watching"/>
    <n v="9.6999999999999993"/>
    <n v="26.7"/>
  </r>
  <r>
    <x v="8"/>
    <s v="Spanish"/>
    <n v="2016"/>
    <n v="5"/>
    <s v="Watching"/>
    <n v="7.8"/>
    <n v="57.1"/>
  </r>
  <r>
    <x v="0"/>
    <s v="Korean"/>
    <n v="2023"/>
    <n v="3"/>
    <s v="Completed"/>
    <n v="7.2"/>
    <n v="56.7"/>
  </r>
  <r>
    <x v="2"/>
    <s v="Korean"/>
    <n v="2021"/>
    <n v="1"/>
    <s v="Watching"/>
    <n v="7"/>
    <n v="53.3"/>
  </r>
  <r>
    <x v="5"/>
    <s v="Korean"/>
    <n v="2021"/>
    <n v="3"/>
    <s v="Watching"/>
    <n v="6.8"/>
    <n v="53.4"/>
  </r>
  <r>
    <x v="8"/>
    <s v="Korean"/>
    <n v="2023"/>
    <n v="3"/>
    <s v="Plan to Watch"/>
    <n v="7.4"/>
    <n v="15.3"/>
  </r>
  <r>
    <x v="4"/>
    <s v="Hindi"/>
    <n v="2020"/>
    <n v="7"/>
    <s v="Completed"/>
    <n v="9.5"/>
    <n v="56.5"/>
  </r>
  <r>
    <x v="4"/>
    <s v="Hindi"/>
    <n v="2015"/>
    <n v="7"/>
    <s v="Completed"/>
    <n v="7.9"/>
    <n v="58.1"/>
  </r>
  <r>
    <x v="9"/>
    <s v="English"/>
    <n v="2021"/>
    <n v="3"/>
    <s v="Completed"/>
    <n v="8.6999999999999993"/>
    <n v="55.6"/>
  </r>
  <r>
    <x v="6"/>
    <s v="German"/>
    <n v="2017"/>
    <n v="2"/>
    <s v="Watching"/>
    <n v="9.1"/>
    <n v="12.7"/>
  </r>
  <r>
    <x v="3"/>
    <s v="French"/>
    <n v="2019"/>
    <n v="4"/>
    <s v="Completed"/>
    <n v="8"/>
    <n v="48.7"/>
  </r>
  <r>
    <x v="3"/>
    <s v="English"/>
    <n v="2020"/>
    <n v="6"/>
    <s v="Completed"/>
    <n v="8.1999999999999993"/>
    <n v="18.100000000000001"/>
  </r>
  <r>
    <x v="3"/>
    <s v="English"/>
    <n v="2016"/>
    <n v="5"/>
    <s v="Plan to Watch"/>
    <n v="8.5"/>
    <n v="54.2"/>
  </r>
  <r>
    <x v="4"/>
    <s v="German"/>
    <n v="2025"/>
    <n v="6"/>
    <s v="Completed"/>
    <n v="9.5"/>
    <n v="23.3"/>
  </r>
  <r>
    <x v="5"/>
    <s v="Spanish"/>
    <n v="2019"/>
    <n v="6"/>
    <s v="Watching"/>
    <n v="8.3000000000000007"/>
    <n v="36.4"/>
  </r>
  <r>
    <x v="3"/>
    <s v="Spanish"/>
    <n v="2021"/>
    <n v="1"/>
    <s v="Watching"/>
    <n v="8.1999999999999993"/>
    <n v="37.6"/>
  </r>
  <r>
    <x v="6"/>
    <s v="French"/>
    <n v="2017"/>
    <n v="1"/>
    <s v="Watching"/>
    <n v="8.1999999999999993"/>
    <n v="28.3"/>
  </r>
  <r>
    <x v="6"/>
    <s v="Spanish"/>
    <n v="2025"/>
    <n v="4"/>
    <s v="Completed"/>
    <n v="7"/>
    <n v="45"/>
  </r>
  <r>
    <x v="5"/>
    <s v="Spanish"/>
    <n v="2021"/>
    <n v="7"/>
    <s v="Completed"/>
    <n v="9.3000000000000007"/>
    <n v="16.8"/>
  </r>
  <r>
    <x v="0"/>
    <s v="English"/>
    <n v="2017"/>
    <n v="7"/>
    <s v="Completed"/>
    <n v="8.8000000000000007"/>
    <n v="9.6"/>
  </r>
  <r>
    <x v="6"/>
    <s v="Korean"/>
    <n v="2020"/>
    <n v="8"/>
    <s v="Completed"/>
    <n v="6.6"/>
    <n v="26.1"/>
  </r>
  <r>
    <x v="6"/>
    <s v="German"/>
    <n v="2017"/>
    <n v="8"/>
    <s v="Watching"/>
    <n v="9.5"/>
    <n v="59.3"/>
  </r>
  <r>
    <x v="3"/>
    <s v="German"/>
    <n v="2021"/>
    <n v="7"/>
    <s v="Watching"/>
    <n v="9.1"/>
    <n v="34.1"/>
  </r>
  <r>
    <x v="7"/>
    <s v="Spanish"/>
    <n v="2025"/>
    <n v="6"/>
    <s v="Completed"/>
    <n v="6.8"/>
    <n v="55.4"/>
  </r>
  <r>
    <x v="7"/>
    <s v="Korean"/>
    <n v="2025"/>
    <n v="4"/>
    <s v="Plan to Watch"/>
    <n v="8.8000000000000007"/>
    <n v="23.3"/>
  </r>
  <r>
    <x v="8"/>
    <s v="Spanish"/>
    <n v="2021"/>
    <n v="4"/>
    <s v="Completed"/>
    <n v="7.9"/>
    <n v="53.3"/>
  </r>
  <r>
    <x v="8"/>
    <s v="Korean"/>
    <n v="2019"/>
    <n v="7"/>
    <s v="Completed"/>
    <n v="7.8"/>
    <n v="25"/>
  </r>
  <r>
    <x v="7"/>
    <s v="Spanish"/>
    <n v="2020"/>
    <n v="6"/>
    <s v="Plan to Watch"/>
    <n v="9.6999999999999993"/>
    <n v="13.4"/>
  </r>
  <r>
    <x v="6"/>
    <s v="English"/>
    <n v="2020"/>
    <n v="4"/>
    <s v="Watching"/>
    <n v="8.3000000000000007"/>
    <n v="28.3"/>
  </r>
  <r>
    <x v="0"/>
    <s v="French"/>
    <n v="2023"/>
    <n v="3"/>
    <s v="Completed"/>
    <n v="6.8"/>
    <n v="22.1"/>
  </r>
  <r>
    <x v="9"/>
    <s v="English"/>
    <n v="2016"/>
    <n v="7"/>
    <s v="Watching"/>
    <n v="8.1"/>
    <n v="46.2"/>
  </r>
  <r>
    <x v="2"/>
    <s v="English"/>
    <n v="2021"/>
    <n v="4"/>
    <s v="Completed"/>
    <n v="8.6999999999999993"/>
    <n v="16.100000000000001"/>
  </r>
  <r>
    <x v="1"/>
    <s v="Spanish"/>
    <n v="2018"/>
    <n v="5"/>
    <s v="Plan to Watch"/>
    <n v="7.8"/>
    <n v="51.1"/>
  </r>
  <r>
    <x v="1"/>
    <s v="German"/>
    <n v="2015"/>
    <n v="6"/>
    <s v="Completed"/>
    <n v="9.6"/>
    <n v="34.299999999999997"/>
  </r>
  <r>
    <x v="5"/>
    <s v="Spanish"/>
    <n v="2021"/>
    <n v="3"/>
    <s v="Completed"/>
    <n v="9.5"/>
    <n v="35.5"/>
  </r>
  <r>
    <x v="2"/>
    <s v="Spanish"/>
    <n v="2024"/>
    <n v="6"/>
    <s v="Plan to Watch"/>
    <n v="7.2"/>
    <n v="11.8"/>
  </r>
  <r>
    <x v="5"/>
    <s v="Korean"/>
    <n v="2020"/>
    <n v="5"/>
    <s v="Completed"/>
    <n v="9.8000000000000007"/>
    <n v="56.8"/>
  </r>
  <r>
    <x v="4"/>
    <s v="Korean"/>
    <n v="2020"/>
    <n v="1"/>
    <s v="Completed"/>
    <n v="6.8"/>
    <n v="19.100000000000001"/>
  </r>
  <r>
    <x v="1"/>
    <s v="English"/>
    <n v="2024"/>
    <n v="7"/>
    <s v="Plan to Watch"/>
    <n v="9.1999999999999993"/>
    <n v="50.4"/>
  </r>
  <r>
    <x v="3"/>
    <s v="French"/>
    <n v="2016"/>
    <n v="5"/>
    <s v="Plan to Watch"/>
    <n v="9.6999999999999993"/>
    <n v="23.8"/>
  </r>
  <r>
    <x v="9"/>
    <s v="English"/>
    <n v="2016"/>
    <n v="2"/>
    <s v="Watching"/>
    <n v="8.6"/>
    <n v="49.4"/>
  </r>
  <r>
    <x v="2"/>
    <s v="English"/>
    <n v="2017"/>
    <n v="7"/>
    <s v="Completed"/>
    <n v="6.6"/>
    <n v="15.9"/>
  </r>
  <r>
    <x v="4"/>
    <s v="German"/>
    <n v="2017"/>
    <n v="6"/>
    <s v="Plan to Watch"/>
    <n v="9.4"/>
    <n v="57.9"/>
  </r>
  <r>
    <x v="5"/>
    <s v="Spanish"/>
    <n v="2022"/>
    <n v="7"/>
    <s v="Completed"/>
    <n v="8.8000000000000007"/>
    <n v="24"/>
  </r>
  <r>
    <x v="3"/>
    <s v="Hindi"/>
    <n v="2017"/>
    <n v="2"/>
    <s v="Completed"/>
    <n v="7.4"/>
    <n v="50.4"/>
  </r>
  <r>
    <x v="0"/>
    <s v="Korean"/>
    <n v="2023"/>
    <n v="2"/>
    <s v="Completed"/>
    <n v="8.3000000000000007"/>
    <n v="9.1999999999999993"/>
  </r>
  <r>
    <x v="4"/>
    <s v="German"/>
    <n v="2017"/>
    <n v="3"/>
    <s v="Completed"/>
    <n v="9.1"/>
    <n v="9.4"/>
  </r>
  <r>
    <x v="2"/>
    <s v="German"/>
    <n v="2024"/>
    <n v="6"/>
    <s v="Completed"/>
    <n v="8.8000000000000007"/>
    <n v="59.2"/>
  </r>
  <r>
    <x v="8"/>
    <s v="Spanish"/>
    <n v="2024"/>
    <n v="2"/>
    <s v="Completed"/>
    <n v="8.6"/>
    <n v="37.299999999999997"/>
  </r>
  <r>
    <x v="3"/>
    <s v="Hindi"/>
    <n v="2016"/>
    <n v="1"/>
    <s v="Completed"/>
    <n v="9"/>
    <n v="40.6"/>
  </r>
  <r>
    <x v="2"/>
    <s v="German"/>
    <n v="2016"/>
    <n v="5"/>
    <s v="Watching"/>
    <n v="9.6999999999999993"/>
    <n v="20.100000000000001"/>
  </r>
  <r>
    <x v="4"/>
    <s v="Korean"/>
    <n v="2020"/>
    <n v="1"/>
    <s v="Completed"/>
    <n v="9.3000000000000007"/>
    <n v="58.3"/>
  </r>
  <r>
    <x v="2"/>
    <s v="Hindi"/>
    <n v="2020"/>
    <n v="1"/>
    <s v="Watching"/>
    <n v="7.9"/>
    <n v="57.7"/>
  </r>
  <r>
    <x v="4"/>
    <s v="Korean"/>
    <n v="2015"/>
    <n v="8"/>
    <s v="Watching"/>
    <n v="6.8"/>
    <n v="39.9"/>
  </r>
  <r>
    <x v="4"/>
    <s v="Hindi"/>
    <n v="2022"/>
    <n v="6"/>
    <s v="Completed"/>
    <n v="8.1999999999999993"/>
    <n v="16.3"/>
  </r>
  <r>
    <x v="3"/>
    <s v="Spanish"/>
    <n v="2017"/>
    <n v="8"/>
    <s v="Plan to Watch"/>
    <n v="8.6"/>
    <n v="23.2"/>
  </r>
  <r>
    <x v="1"/>
    <s v="French"/>
    <n v="2023"/>
    <n v="5"/>
    <s v="Completed"/>
    <n v="6.8"/>
    <n v="48.7"/>
  </r>
  <r>
    <x v="1"/>
    <s v="German"/>
    <n v="2015"/>
    <n v="4"/>
    <s v="Completed"/>
    <n v="6.8"/>
    <n v="59.4"/>
  </r>
  <r>
    <x v="0"/>
    <s v="Spanish"/>
    <n v="2019"/>
    <n v="2"/>
    <s v="Completed"/>
    <n v="8"/>
    <n v="52.2"/>
  </r>
  <r>
    <x v="9"/>
    <s v="Hindi"/>
    <n v="2021"/>
    <n v="3"/>
    <s v="Plan to Watch"/>
    <n v="6.6"/>
    <n v="12.9"/>
  </r>
  <r>
    <x v="8"/>
    <s v="German"/>
    <n v="2023"/>
    <n v="1"/>
    <s v="Completed"/>
    <n v="9.6"/>
    <n v="15.9"/>
  </r>
  <r>
    <x v="0"/>
    <s v="English"/>
    <n v="2023"/>
    <n v="3"/>
    <s v="Watching"/>
    <n v="8.6999999999999993"/>
    <n v="18.100000000000001"/>
  </r>
  <r>
    <x v="1"/>
    <s v="Spanish"/>
    <n v="2017"/>
    <n v="6"/>
    <s v="Completed"/>
    <n v="7.2"/>
    <n v="23.7"/>
  </r>
  <r>
    <x v="7"/>
    <s v="English"/>
    <n v="2016"/>
    <n v="1"/>
    <s v="Watching"/>
    <n v="7.6"/>
    <n v="29.3"/>
  </r>
  <r>
    <x v="9"/>
    <s v="German"/>
    <n v="2024"/>
    <n v="3"/>
    <s v="Completed"/>
    <n v="9"/>
    <n v="34.4"/>
  </r>
  <r>
    <x v="9"/>
    <s v="Korean"/>
    <n v="2023"/>
    <n v="8"/>
    <s v="Watching"/>
    <n v="8.3000000000000007"/>
    <n v="43.3"/>
  </r>
  <r>
    <x v="6"/>
    <s v="French"/>
    <n v="2022"/>
    <n v="4"/>
    <s v="Completed"/>
    <n v="8.3000000000000007"/>
    <n v="43.7"/>
  </r>
  <r>
    <x v="4"/>
    <s v="German"/>
    <n v="2018"/>
    <n v="7"/>
    <s v="Watching"/>
    <n v="8.9"/>
    <n v="13.9"/>
  </r>
  <r>
    <x v="8"/>
    <s v="German"/>
    <n v="2017"/>
    <n v="7"/>
    <s v="Watching"/>
    <n v="7.2"/>
    <n v="29.4"/>
  </r>
  <r>
    <x v="1"/>
    <s v="French"/>
    <n v="2016"/>
    <n v="8"/>
    <s v="Completed"/>
    <n v="7.1"/>
    <n v="11.4"/>
  </r>
  <r>
    <x v="4"/>
    <s v="German"/>
    <n v="2016"/>
    <n v="8"/>
    <s v="Completed"/>
    <n v="9.1999999999999993"/>
    <n v="36.9"/>
  </r>
  <r>
    <x v="2"/>
    <s v="German"/>
    <n v="2024"/>
    <n v="6"/>
    <s v="Completed"/>
    <n v="8.8000000000000007"/>
    <n v="51.4"/>
  </r>
  <r>
    <x v="3"/>
    <s v="French"/>
    <n v="2024"/>
    <n v="4"/>
    <s v="Completed"/>
    <n v="7.8"/>
    <n v="55.9"/>
  </r>
  <r>
    <x v="5"/>
    <s v="Korean"/>
    <n v="2017"/>
    <n v="2"/>
    <s v="Completed"/>
    <n v="8.8000000000000007"/>
    <n v="35.799999999999997"/>
  </r>
  <r>
    <x v="8"/>
    <s v="German"/>
    <n v="2017"/>
    <n v="2"/>
    <s v="Watching"/>
    <n v="7.1"/>
    <n v="17.899999999999999"/>
  </r>
  <r>
    <x v="9"/>
    <s v="Spanish"/>
    <n v="2020"/>
    <n v="8"/>
    <s v="Completed"/>
    <n v="7.7"/>
    <n v="59.5"/>
  </r>
  <r>
    <x v="3"/>
    <s v="Spanish"/>
    <n v="2016"/>
    <n v="3"/>
    <s v="Completed"/>
    <n v="8.1999999999999993"/>
    <n v="14.3"/>
  </r>
  <r>
    <x v="0"/>
    <s v="Spanish"/>
    <n v="2018"/>
    <n v="8"/>
    <s v="Completed"/>
    <n v="6.9"/>
    <n v="36.4"/>
  </r>
  <r>
    <x v="7"/>
    <s v="German"/>
    <n v="2021"/>
    <n v="7"/>
    <s v="Watching"/>
    <n v="7.7"/>
    <n v="44.7"/>
  </r>
  <r>
    <x v="3"/>
    <s v="Korean"/>
    <n v="2016"/>
    <n v="7"/>
    <s v="Completed"/>
    <n v="8.9"/>
    <n v="21.2"/>
  </r>
  <r>
    <x v="7"/>
    <s v="Korean"/>
    <n v="2019"/>
    <n v="2"/>
    <s v="Completed"/>
    <n v="7.3"/>
    <n v="36"/>
  </r>
  <r>
    <x v="3"/>
    <s v="Korean"/>
    <n v="2022"/>
    <n v="2"/>
    <s v="Completed"/>
    <n v="9.5"/>
    <n v="21.1"/>
  </r>
  <r>
    <x v="5"/>
    <s v="Hindi"/>
    <n v="2017"/>
    <n v="5"/>
    <s v="Plan to Watch"/>
    <n v="7"/>
    <n v="50.7"/>
  </r>
  <r>
    <x v="5"/>
    <s v="French"/>
    <n v="2024"/>
    <n v="4"/>
    <s v="Completed"/>
    <n v="7.7"/>
    <n v="56.7"/>
  </r>
  <r>
    <x v="4"/>
    <s v="English"/>
    <n v="2021"/>
    <n v="4"/>
    <s v="Plan to Watch"/>
    <n v="8.1"/>
    <n v="12"/>
  </r>
  <r>
    <x v="2"/>
    <s v="French"/>
    <n v="2022"/>
    <n v="1"/>
    <s v="Completed"/>
    <n v="9"/>
    <n v="51.1"/>
  </r>
  <r>
    <x v="0"/>
    <s v="French"/>
    <n v="2017"/>
    <n v="2"/>
    <s v="Watching"/>
    <n v="9.1999999999999993"/>
    <n v="42.3"/>
  </r>
  <r>
    <x v="0"/>
    <s v="Korean"/>
    <n v="2018"/>
    <n v="6"/>
    <s v="Completed"/>
    <n v="7.2"/>
    <n v="17.3"/>
  </r>
  <r>
    <x v="3"/>
    <s v="Spanish"/>
    <n v="2015"/>
    <n v="7"/>
    <s v="Watching"/>
    <n v="6.6"/>
    <n v="19.8"/>
  </r>
  <r>
    <x v="2"/>
    <s v="English"/>
    <n v="2017"/>
    <n v="2"/>
    <s v="Completed"/>
    <n v="9.1"/>
    <n v="59.7"/>
  </r>
  <r>
    <x v="6"/>
    <s v="French"/>
    <n v="2017"/>
    <n v="6"/>
    <s v="Completed"/>
    <n v="6.6"/>
    <n v="13.3"/>
  </r>
  <r>
    <x v="1"/>
    <s v="German"/>
    <n v="2022"/>
    <n v="3"/>
    <s v="Watching"/>
    <n v="9.5"/>
    <n v="43.7"/>
  </r>
  <r>
    <x v="2"/>
    <s v="Spanish"/>
    <n v="2021"/>
    <n v="6"/>
    <s v="Completed"/>
    <n v="7.6"/>
    <n v="10.7"/>
  </r>
  <r>
    <x v="7"/>
    <s v="Hindi"/>
    <n v="2015"/>
    <n v="6"/>
    <s v="Watching"/>
    <n v="6.6"/>
    <n v="12.4"/>
  </r>
  <r>
    <x v="5"/>
    <s v="Hindi"/>
    <n v="2023"/>
    <n v="6"/>
    <s v="Completed"/>
    <n v="9.4"/>
    <n v="27"/>
  </r>
  <r>
    <x v="2"/>
    <s v="English"/>
    <n v="2022"/>
    <n v="1"/>
    <s v="Plan to Watch"/>
    <n v="8.9"/>
    <n v="10"/>
  </r>
  <r>
    <x v="7"/>
    <s v="German"/>
    <n v="2015"/>
    <n v="1"/>
    <s v="Plan to Watch"/>
    <n v="8.8000000000000007"/>
    <n v="29.5"/>
  </r>
  <r>
    <x v="1"/>
    <s v="German"/>
    <n v="2025"/>
    <n v="5"/>
    <s v="Completed"/>
    <n v="7.3"/>
    <n v="24.2"/>
  </r>
  <r>
    <x v="6"/>
    <s v="Spanish"/>
    <n v="2025"/>
    <n v="4"/>
    <s v="Completed"/>
    <n v="6.6"/>
    <n v="56"/>
  </r>
  <r>
    <x v="6"/>
    <s v="French"/>
    <n v="2024"/>
    <n v="8"/>
    <s v="Completed"/>
    <n v="7.8"/>
    <n v="17.399999999999999"/>
  </r>
  <r>
    <x v="9"/>
    <s v="German"/>
    <n v="2023"/>
    <n v="4"/>
    <s v="Completed"/>
    <n v="7.6"/>
    <n v="10.1"/>
  </r>
  <r>
    <x v="4"/>
    <s v="French"/>
    <n v="2016"/>
    <n v="7"/>
    <s v="Completed"/>
    <n v="8.9"/>
    <n v="18.5"/>
  </r>
  <r>
    <x v="6"/>
    <s v="English"/>
    <n v="2023"/>
    <n v="7"/>
    <s v="Plan to Watch"/>
    <n v="6.5"/>
    <n v="21.1"/>
  </r>
  <r>
    <x v="9"/>
    <s v="Spanish"/>
    <n v="2015"/>
    <n v="5"/>
    <s v="Watching"/>
    <n v="8.3000000000000007"/>
    <n v="50.6"/>
  </r>
  <r>
    <x v="4"/>
    <s v="Korean"/>
    <n v="2016"/>
    <n v="5"/>
    <s v="Plan to Watch"/>
    <n v="9.3000000000000007"/>
    <n v="40.1"/>
  </r>
  <r>
    <x v="8"/>
    <s v="Spanish"/>
    <n v="2019"/>
    <n v="3"/>
    <s v="Completed"/>
    <n v="6.9"/>
    <n v="57.5"/>
  </r>
  <r>
    <x v="5"/>
    <s v="French"/>
    <n v="2023"/>
    <n v="1"/>
    <s v="Completed"/>
    <n v="6.6"/>
    <n v="57.5"/>
  </r>
  <r>
    <x v="2"/>
    <s v="German"/>
    <n v="2016"/>
    <n v="1"/>
    <s v="Completed"/>
    <n v="7.7"/>
    <n v="22.1"/>
  </r>
  <r>
    <x v="4"/>
    <s v="German"/>
    <n v="2021"/>
    <n v="3"/>
    <s v="Completed"/>
    <n v="9.4"/>
    <n v="36.1"/>
  </r>
  <r>
    <x v="3"/>
    <s v="Spanish"/>
    <n v="2025"/>
    <n v="7"/>
    <s v="Completed"/>
    <n v="7.5"/>
    <n v="26.7"/>
  </r>
  <r>
    <x v="2"/>
    <s v="Spanish"/>
    <n v="2017"/>
    <n v="5"/>
    <s v="Plan to Watch"/>
    <n v="7.4"/>
    <n v="16.8"/>
  </r>
  <r>
    <x v="9"/>
    <s v="French"/>
    <n v="2017"/>
    <n v="1"/>
    <s v="Completed"/>
    <n v="8.8000000000000007"/>
    <n v="8.1999999999999993"/>
  </r>
  <r>
    <x v="6"/>
    <s v="French"/>
    <n v="2018"/>
    <n v="8"/>
    <s v="Completed"/>
    <n v="8.3000000000000007"/>
    <n v="8.9"/>
  </r>
  <r>
    <x v="1"/>
    <s v="Korean"/>
    <n v="2017"/>
    <n v="7"/>
    <s v="Watching"/>
    <n v="7.2"/>
    <n v="17.7"/>
  </r>
  <r>
    <x v="8"/>
    <s v="German"/>
    <n v="2015"/>
    <n v="8"/>
    <s v="Completed"/>
    <n v="6.5"/>
    <n v="9.9"/>
  </r>
  <r>
    <x v="4"/>
    <s v="French"/>
    <n v="2024"/>
    <n v="3"/>
    <s v="Completed"/>
    <n v="9.1999999999999993"/>
    <n v="38.6"/>
  </r>
  <r>
    <x v="5"/>
    <s v="English"/>
    <n v="2016"/>
    <n v="7"/>
    <s v="Completed"/>
    <n v="8.1999999999999993"/>
    <n v="40.4"/>
  </r>
  <r>
    <x v="2"/>
    <s v="Korean"/>
    <n v="2024"/>
    <n v="4"/>
    <s v="Plan to Watch"/>
    <n v="8.5"/>
    <n v="51.5"/>
  </r>
  <r>
    <x v="2"/>
    <s v="Spanish"/>
    <n v="2025"/>
    <n v="5"/>
    <s v="Completed"/>
    <n v="8.6999999999999993"/>
    <n v="30.2"/>
  </r>
  <r>
    <x v="5"/>
    <s v="French"/>
    <n v="2019"/>
    <n v="6"/>
    <s v="Watching"/>
    <n v="9"/>
    <n v="11.2"/>
  </r>
  <r>
    <x v="6"/>
    <s v="Spanish"/>
    <n v="2021"/>
    <n v="7"/>
    <s v="Completed"/>
    <n v="6.8"/>
    <n v="14.2"/>
  </r>
  <r>
    <x v="3"/>
    <s v="English"/>
    <n v="2022"/>
    <n v="1"/>
    <s v="Completed"/>
    <n v="8.6999999999999993"/>
    <n v="47"/>
  </r>
  <r>
    <x v="1"/>
    <s v="English"/>
    <n v="2016"/>
    <n v="7"/>
    <s v="Completed"/>
    <n v="8.9"/>
    <n v="55.3"/>
  </r>
  <r>
    <x v="7"/>
    <s v="German"/>
    <n v="2018"/>
    <n v="7"/>
    <s v="Completed"/>
    <n v="7.1"/>
    <n v="30.9"/>
  </r>
  <r>
    <x v="7"/>
    <s v="Spanish"/>
    <n v="2018"/>
    <n v="2"/>
    <s v="Completed"/>
    <n v="9.6"/>
    <n v="54.6"/>
  </r>
  <r>
    <x v="1"/>
    <s v="English"/>
    <n v="2023"/>
    <n v="3"/>
    <s v="Completed"/>
    <n v="8.5"/>
    <n v="27.7"/>
  </r>
  <r>
    <x v="4"/>
    <s v="French"/>
    <n v="2016"/>
    <n v="2"/>
    <s v="Completed"/>
    <n v="8.1999999999999993"/>
    <n v="21.8"/>
  </r>
  <r>
    <x v="9"/>
    <s v="Hindi"/>
    <n v="2015"/>
    <n v="5"/>
    <s v="Watching"/>
    <n v="9.1"/>
    <n v="55.1"/>
  </r>
  <r>
    <x v="5"/>
    <s v="Hindi"/>
    <n v="2019"/>
    <n v="2"/>
    <s v="Completed"/>
    <n v="8"/>
    <n v="57.5"/>
  </r>
  <r>
    <x v="3"/>
    <s v="English"/>
    <n v="2017"/>
    <n v="6"/>
    <s v="Watching"/>
    <n v="9"/>
    <n v="51.1"/>
  </r>
  <r>
    <x v="0"/>
    <s v="Korean"/>
    <n v="2023"/>
    <n v="5"/>
    <s v="Watching"/>
    <n v="9.1"/>
    <n v="20.9"/>
  </r>
  <r>
    <x v="7"/>
    <s v="Korean"/>
    <n v="2020"/>
    <n v="8"/>
    <s v="Completed"/>
    <n v="7.6"/>
    <n v="21.7"/>
  </r>
  <r>
    <x v="8"/>
    <s v="Spanish"/>
    <n v="2024"/>
    <n v="1"/>
    <s v="Plan to Watch"/>
    <n v="7"/>
    <n v="43.6"/>
  </r>
  <r>
    <x v="6"/>
    <s v="French"/>
    <n v="2018"/>
    <n v="1"/>
    <s v="Completed"/>
    <n v="9.6"/>
    <n v="29.6"/>
  </r>
  <r>
    <x v="9"/>
    <s v="Hindi"/>
    <n v="2021"/>
    <n v="2"/>
    <s v="Completed"/>
    <n v="8.1999999999999993"/>
    <n v="27.1"/>
  </r>
  <r>
    <x v="9"/>
    <s v="Korean"/>
    <n v="2022"/>
    <n v="7"/>
    <s v="Completed"/>
    <n v="6.7"/>
    <n v="41.7"/>
  </r>
  <r>
    <x v="8"/>
    <s v="Korean"/>
    <n v="2019"/>
    <n v="7"/>
    <s v="Watching"/>
    <n v="6.6"/>
    <n v="50.6"/>
  </r>
  <r>
    <x v="3"/>
    <s v="English"/>
    <n v="2023"/>
    <n v="3"/>
    <s v="Completed"/>
    <n v="7.1"/>
    <n v="43.1"/>
  </r>
  <r>
    <x v="1"/>
    <s v="German"/>
    <n v="2022"/>
    <n v="3"/>
    <s v="Watching"/>
    <n v="9.8000000000000007"/>
    <n v="12.2"/>
  </r>
  <r>
    <x v="1"/>
    <s v="Hindi"/>
    <n v="2022"/>
    <n v="5"/>
    <s v="Completed"/>
    <n v="8.9"/>
    <n v="49.3"/>
  </r>
  <r>
    <x v="1"/>
    <s v="Hindi"/>
    <n v="2025"/>
    <n v="3"/>
    <s v="Completed"/>
    <n v="9.5"/>
    <n v="55.1"/>
  </r>
  <r>
    <x v="4"/>
    <s v="Hindi"/>
    <n v="2023"/>
    <n v="3"/>
    <s v="Plan to Watch"/>
    <n v="7.1"/>
    <n v="44.3"/>
  </r>
  <r>
    <x v="1"/>
    <s v="Korean"/>
    <n v="2022"/>
    <n v="5"/>
    <s v="Completed"/>
    <n v="9.5"/>
    <n v="45.2"/>
  </r>
  <r>
    <x v="5"/>
    <s v="German"/>
    <n v="2021"/>
    <n v="3"/>
    <s v="Completed"/>
    <n v="7"/>
    <n v="33.4"/>
  </r>
  <r>
    <x v="7"/>
    <s v="Spanish"/>
    <n v="2018"/>
    <n v="6"/>
    <s v="Completed"/>
    <n v="9.1999999999999993"/>
    <n v="35.200000000000003"/>
  </r>
  <r>
    <x v="9"/>
    <s v="English"/>
    <n v="2025"/>
    <n v="4"/>
    <s v="Watching"/>
    <n v="7.2"/>
    <n v="48.9"/>
  </r>
  <r>
    <x v="5"/>
    <s v="Spanish"/>
    <n v="2017"/>
    <n v="6"/>
    <s v="Completed"/>
    <n v="9.1"/>
    <n v="50"/>
  </r>
  <r>
    <x v="3"/>
    <s v="English"/>
    <n v="2016"/>
    <n v="4"/>
    <s v="Watching"/>
    <n v="9.3000000000000007"/>
    <n v="49.3"/>
  </r>
  <r>
    <x v="4"/>
    <s v="German"/>
    <n v="2017"/>
    <n v="5"/>
    <s v="Watching"/>
    <n v="9.4"/>
    <n v="12.6"/>
  </r>
  <r>
    <x v="7"/>
    <s v="French"/>
    <n v="2023"/>
    <n v="6"/>
    <s v="Completed"/>
    <n v="6.8"/>
    <n v="8.6"/>
  </r>
  <r>
    <x v="9"/>
    <s v="Hindi"/>
    <n v="2020"/>
    <n v="6"/>
    <s v="Completed"/>
    <n v="8.1"/>
    <n v="42"/>
  </r>
  <r>
    <x v="3"/>
    <s v="Spanish"/>
    <n v="2017"/>
    <n v="2"/>
    <s v="Watching"/>
    <n v="6.5"/>
    <n v="9.4"/>
  </r>
  <r>
    <x v="7"/>
    <s v="Hindi"/>
    <n v="2018"/>
    <n v="7"/>
    <s v="Completed"/>
    <n v="6.8"/>
    <n v="19.600000000000001"/>
  </r>
  <r>
    <x v="2"/>
    <s v="Spanish"/>
    <n v="2018"/>
    <n v="5"/>
    <s v="Completed"/>
    <n v="8"/>
    <n v="18.5"/>
  </r>
  <r>
    <x v="1"/>
    <s v="German"/>
    <n v="2023"/>
    <n v="7"/>
    <s v="Completed"/>
    <n v="6.9"/>
    <n v="16.5"/>
  </r>
  <r>
    <x v="5"/>
    <s v="Korean"/>
    <n v="2022"/>
    <n v="4"/>
    <s v="Completed"/>
    <n v="9.4"/>
    <n v="24.6"/>
  </r>
  <r>
    <x v="8"/>
    <s v="English"/>
    <n v="2022"/>
    <n v="2"/>
    <s v="Completed"/>
    <n v="7"/>
    <n v="54.3"/>
  </r>
  <r>
    <x v="3"/>
    <s v="French"/>
    <n v="2025"/>
    <n v="1"/>
    <s v="Completed"/>
    <n v="6.6"/>
    <n v="52.9"/>
  </r>
  <r>
    <x v="3"/>
    <s v="German"/>
    <n v="2020"/>
    <n v="8"/>
    <s v="Plan to Watch"/>
    <n v="7.1"/>
    <n v="11.9"/>
  </r>
  <r>
    <x v="8"/>
    <s v="Hindi"/>
    <n v="2019"/>
    <n v="7"/>
    <s v="Plan to Watch"/>
    <n v="9.4"/>
    <n v="29.6"/>
  </r>
  <r>
    <x v="4"/>
    <s v="German"/>
    <n v="2016"/>
    <n v="4"/>
    <s v="Completed"/>
    <n v="6.7"/>
    <n v="18.8"/>
  </r>
  <r>
    <x v="1"/>
    <s v="German"/>
    <n v="2019"/>
    <n v="2"/>
    <s v="Completed"/>
    <n v="6.6"/>
    <n v="52.8"/>
  </r>
  <r>
    <x v="4"/>
    <s v="Spanish"/>
    <n v="2015"/>
    <n v="4"/>
    <s v="Watching"/>
    <n v="8.5"/>
    <n v="52.7"/>
  </r>
  <r>
    <x v="4"/>
    <s v="French"/>
    <n v="2018"/>
    <n v="3"/>
    <s v="Completed"/>
    <n v="6.5"/>
    <n v="24.4"/>
  </r>
  <r>
    <x v="5"/>
    <s v="Korean"/>
    <n v="2022"/>
    <n v="3"/>
    <s v="Completed"/>
    <n v="9.3000000000000007"/>
    <n v="39"/>
  </r>
  <r>
    <x v="6"/>
    <s v="French"/>
    <n v="2019"/>
    <n v="2"/>
    <s v="Completed"/>
    <n v="9.1"/>
    <n v="19.100000000000001"/>
  </r>
  <r>
    <x v="5"/>
    <s v="Hindi"/>
    <n v="2018"/>
    <n v="6"/>
    <s v="Watching"/>
    <n v="8.1999999999999993"/>
    <n v="40.4"/>
  </r>
  <r>
    <x v="9"/>
    <s v="Hindi"/>
    <n v="2018"/>
    <n v="3"/>
    <s v="Completed"/>
    <n v="8.8000000000000007"/>
    <n v="58.7"/>
  </r>
  <r>
    <x v="7"/>
    <s v="Korean"/>
    <n v="2024"/>
    <n v="1"/>
    <s v="Plan to Watch"/>
    <n v="7.5"/>
    <n v="50.2"/>
  </r>
  <r>
    <x v="8"/>
    <s v="Korean"/>
    <n v="2024"/>
    <n v="4"/>
    <s v="Watching"/>
    <n v="9.3000000000000007"/>
    <n v="2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F5748-B1B1-4E65-95D3-33C546DF6D95}"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R25:S36" firstHeaderRow="1" firstDataRow="1" firstDataCol="1"/>
  <pivotFields count="7">
    <pivotField axis="axisRow" showAll="0">
      <items count="11">
        <item x="1"/>
        <item x="6"/>
        <item x="8"/>
        <item x="2"/>
        <item x="3"/>
        <item x="5"/>
        <item x="0"/>
        <item x="4"/>
        <item x="9"/>
        <item x="7"/>
        <item t="default"/>
      </items>
    </pivotField>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Watch Hours"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3B11AB-3C79-4B45-B45D-F2335A11BE78}"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B19:C30" firstHeaderRow="1" firstDataRow="1" firstDataCol="1"/>
  <pivotFields count="10">
    <pivotField showAll="0"/>
    <pivotField axis="axisRow" showAll="0" measureFilter="1" sortType="descending">
      <items count="43">
        <item x="36"/>
        <item x="19"/>
        <item x="33"/>
        <item x="35"/>
        <item x="20"/>
        <item x="40"/>
        <item x="32"/>
        <item x="22"/>
        <item x="11"/>
        <item x="5"/>
        <item x="34"/>
        <item x="13"/>
        <item x="30"/>
        <item x="4"/>
        <item x="31"/>
        <item x="6"/>
        <item x="28"/>
        <item x="25"/>
        <item x="26"/>
        <item x="9"/>
        <item x="0"/>
        <item x="7"/>
        <item x="14"/>
        <item x="12"/>
        <item x="27"/>
        <item x="1"/>
        <item x="29"/>
        <item x="24"/>
        <item x="2"/>
        <item x="10"/>
        <item x="41"/>
        <item x="18"/>
        <item x="37"/>
        <item x="21"/>
        <item x="17"/>
        <item x="15"/>
        <item x="8"/>
        <item x="3"/>
        <item x="38"/>
        <item x="23"/>
        <item x="39"/>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35">
        <item x="32"/>
        <item x="4"/>
        <item x="10"/>
        <item x="0"/>
        <item x="18"/>
        <item x="21"/>
        <item x="2"/>
        <item x="20"/>
        <item x="11"/>
        <item x="22"/>
        <item x="33"/>
        <item x="5"/>
        <item x="31"/>
        <item x="7"/>
        <item x="23"/>
        <item x="24"/>
        <item x="1"/>
        <item x="25"/>
        <item x="27"/>
        <item x="14"/>
        <item x="26"/>
        <item x="13"/>
        <item x="9"/>
        <item x="15"/>
        <item x="16"/>
        <item x="6"/>
        <item x="19"/>
        <item x="3"/>
        <item x="12"/>
        <item x="30"/>
        <item x="17"/>
        <item x="28"/>
        <item x="8"/>
        <item x="29"/>
        <item t="default"/>
      </items>
    </pivotField>
    <pivotField showAll="0"/>
    <pivotField showAll="0"/>
  </pivotFields>
  <rowFields count="1">
    <field x="1"/>
  </rowFields>
  <rowItems count="11">
    <i>
      <x v="3"/>
    </i>
    <i>
      <x v="4"/>
    </i>
    <i>
      <x v="34"/>
    </i>
    <i>
      <x v="35"/>
    </i>
    <i>
      <x v="16"/>
    </i>
    <i>
      <x v="40"/>
    </i>
    <i>
      <x v="2"/>
    </i>
    <i>
      <x v="31"/>
    </i>
    <i>
      <x v="32"/>
    </i>
    <i>
      <x v="9"/>
    </i>
    <i t="grand">
      <x/>
    </i>
  </rowItems>
  <colItems count="1">
    <i/>
  </colItems>
  <dataFields count="1">
    <dataField name="Average of Rating" fld="7" subtotal="average" baseField="1"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8B072F-B216-4F6D-8600-A636080A971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1">
    <pivotField dataField="1" showAll="0"/>
    <pivotField showAll="0"/>
    <pivotField axis="axisRow" showAll="0">
      <items count="11">
        <item x="1"/>
        <item x="6"/>
        <item x="8"/>
        <item x="2"/>
        <item x="3"/>
        <item x="5"/>
        <item x="0"/>
        <item x="4"/>
        <item x="9"/>
        <item x="7"/>
        <item t="default"/>
      </items>
    </pivotField>
    <pivotField showAll="0">
      <items count="7">
        <item x="1"/>
        <item x="0"/>
        <item x="5"/>
        <item x="2"/>
        <item x="3"/>
        <item x="4"/>
        <item t="default"/>
      </items>
    </pivotField>
    <pivotField showAll="0"/>
    <pivotField showAll="0"/>
    <pivotField showAll="0">
      <items count="4">
        <item x="1"/>
        <item x="2"/>
        <item x="0"/>
        <item t="default"/>
      </items>
    </pivotField>
    <pivotField showAll="0"/>
    <pivotField showAll="0"/>
    <pivotField showAll="0">
      <items count="13">
        <item x="6"/>
        <item x="5"/>
        <item x="10"/>
        <item x="7"/>
        <item x="11"/>
        <item x="0"/>
        <item x="8"/>
        <item x="4"/>
        <item x="2"/>
        <item x="3"/>
        <item x="9"/>
        <item x="1"/>
        <item t="default"/>
      </items>
    </pivotField>
    <pivotField showAll="0"/>
  </pivotFields>
  <rowFields count="1">
    <field x="2"/>
  </rowFields>
  <rowItems count="11">
    <i>
      <x/>
    </i>
    <i>
      <x v="1"/>
    </i>
    <i>
      <x v="2"/>
    </i>
    <i>
      <x v="3"/>
    </i>
    <i>
      <x v="4"/>
    </i>
    <i>
      <x v="5"/>
    </i>
    <i>
      <x v="6"/>
    </i>
    <i>
      <x v="7"/>
    </i>
    <i>
      <x v="8"/>
    </i>
    <i>
      <x v="9"/>
    </i>
    <i t="grand">
      <x/>
    </i>
  </rowItems>
  <colItems count="1">
    <i/>
  </colItems>
  <dataFields count="1">
    <dataField name="Count of Series ID" fld="0" subtotal="count" baseField="0" baseItem="0"/>
  </dataField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2" count="1" selected="0">
            <x v="0"/>
          </reference>
        </references>
      </pivotArea>
    </chartFormat>
    <chartFormat chart="3" format="24">
      <pivotArea type="data" outline="0" fieldPosition="0">
        <references count="2">
          <reference field="4294967294" count="1" selected="0">
            <x v="0"/>
          </reference>
          <reference field="2" count="1" selected="0">
            <x v="1"/>
          </reference>
        </references>
      </pivotArea>
    </chartFormat>
    <chartFormat chart="3" format="25">
      <pivotArea type="data" outline="0" fieldPosition="0">
        <references count="2">
          <reference field="4294967294" count="1" selected="0">
            <x v="0"/>
          </reference>
          <reference field="2" count="1" selected="0">
            <x v="2"/>
          </reference>
        </references>
      </pivotArea>
    </chartFormat>
    <chartFormat chart="3" format="26">
      <pivotArea type="data" outline="0" fieldPosition="0">
        <references count="2">
          <reference field="4294967294" count="1" selected="0">
            <x v="0"/>
          </reference>
          <reference field="2" count="1" selected="0">
            <x v="3"/>
          </reference>
        </references>
      </pivotArea>
    </chartFormat>
    <chartFormat chart="3" format="27">
      <pivotArea type="data" outline="0" fieldPosition="0">
        <references count="2">
          <reference field="4294967294" count="1" selected="0">
            <x v="0"/>
          </reference>
          <reference field="2" count="1" selected="0">
            <x v="4"/>
          </reference>
        </references>
      </pivotArea>
    </chartFormat>
    <chartFormat chart="3" format="28">
      <pivotArea type="data" outline="0" fieldPosition="0">
        <references count="2">
          <reference field="4294967294" count="1" selected="0">
            <x v="0"/>
          </reference>
          <reference field="2" count="1" selected="0">
            <x v="5"/>
          </reference>
        </references>
      </pivotArea>
    </chartFormat>
    <chartFormat chart="3" format="29">
      <pivotArea type="data" outline="0" fieldPosition="0">
        <references count="2">
          <reference field="4294967294" count="1" selected="0">
            <x v="0"/>
          </reference>
          <reference field="2" count="1" selected="0">
            <x v="6"/>
          </reference>
        </references>
      </pivotArea>
    </chartFormat>
    <chartFormat chart="3" format="30">
      <pivotArea type="data" outline="0" fieldPosition="0">
        <references count="2">
          <reference field="4294967294" count="1" selected="0">
            <x v="0"/>
          </reference>
          <reference field="2" count="1" selected="0">
            <x v="7"/>
          </reference>
        </references>
      </pivotArea>
    </chartFormat>
    <chartFormat chart="3" format="31">
      <pivotArea type="data" outline="0" fieldPosition="0">
        <references count="2">
          <reference field="4294967294" count="1" selected="0">
            <x v="0"/>
          </reference>
          <reference field="2" count="1" selected="0">
            <x v="8"/>
          </reference>
        </references>
      </pivotArea>
    </chartFormat>
    <chartFormat chart="3" format="3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4B1FB-C45F-4C6E-8714-D05803CDC9D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L20:M24" firstHeaderRow="1" firstDataRow="1" firstDataCol="1"/>
  <pivotFields count="11">
    <pivotField dataField="1" showAll="0"/>
    <pivotField showAll="0"/>
    <pivotField showAll="0">
      <items count="11">
        <item x="1"/>
        <item x="6"/>
        <item x="8"/>
        <item x="2"/>
        <item x="3"/>
        <item x="5"/>
        <item x="0"/>
        <item x="4"/>
        <item x="9"/>
        <item x="7"/>
        <item t="default"/>
      </items>
    </pivotField>
    <pivotField showAll="0">
      <items count="7">
        <item x="1"/>
        <item x="0"/>
        <item x="5"/>
        <item x="2"/>
        <item x="3"/>
        <item x="4"/>
        <item t="default"/>
      </items>
    </pivotField>
    <pivotField showAll="0"/>
    <pivotField showAll="0"/>
    <pivotField axis="axisRow" showAll="0">
      <items count="4">
        <item x="1"/>
        <item x="2"/>
        <item x="0"/>
        <item t="default"/>
      </items>
    </pivotField>
    <pivotField showAll="0"/>
    <pivotField showAll="0"/>
    <pivotField showAll="0">
      <items count="13">
        <item x="6"/>
        <item x="5"/>
        <item x="10"/>
        <item x="7"/>
        <item x="11"/>
        <item x="0"/>
        <item x="8"/>
        <item x="4"/>
        <item x="2"/>
        <item x="3"/>
        <item x="9"/>
        <item x="1"/>
        <item t="default"/>
      </items>
    </pivotField>
    <pivotField showAll="0"/>
  </pivotFields>
  <rowFields count="1">
    <field x="6"/>
  </rowFields>
  <rowItems count="4">
    <i>
      <x/>
    </i>
    <i>
      <x v="1"/>
    </i>
    <i>
      <x v="2"/>
    </i>
    <i t="grand">
      <x/>
    </i>
  </rowItems>
  <colItems count="1">
    <i/>
  </colItems>
  <dataFields count="1">
    <dataField name="Count of Series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EA35E5-186A-41EF-9DD3-CBE2FE08E81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3:M16" firstHeaderRow="1" firstDataRow="1" firstDataCol="1"/>
  <pivotFields count="11">
    <pivotField showAll="0"/>
    <pivotField showAll="0"/>
    <pivotField showAll="0">
      <items count="11">
        <item x="1"/>
        <item x="6"/>
        <item x="8"/>
        <item x="2"/>
        <item x="3"/>
        <item x="5"/>
        <item x="0"/>
        <item x="4"/>
        <item x="9"/>
        <item x="7"/>
        <item t="default"/>
      </items>
    </pivotField>
    <pivotField showAll="0">
      <items count="7">
        <item x="1"/>
        <item x="0"/>
        <item x="5"/>
        <item x="2"/>
        <item x="3"/>
        <item x="4"/>
        <item t="default"/>
      </items>
    </pivotField>
    <pivotField showAll="0"/>
    <pivotField showAll="0"/>
    <pivotField showAll="0">
      <items count="4">
        <item x="1"/>
        <item x="2"/>
        <item x="0"/>
        <item t="default"/>
      </items>
    </pivotField>
    <pivotField showAll="0"/>
    <pivotField dataField="1" showAll="0"/>
    <pivotField axis="axisRow" showAll="0">
      <items count="13">
        <item x="6"/>
        <item x="5"/>
        <item x="10"/>
        <item x="7"/>
        <item x="11"/>
        <item x="0"/>
        <item x="8"/>
        <item x="4"/>
        <item x="2"/>
        <item x="3"/>
        <item x="9"/>
        <item x="1"/>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Watch Hour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Watched" xr10:uid="{CE7CCF57-F22C-4FD9-A456-E9178A03FAC4}" sourceName="Month Watched">
  <pivotTables>
    <pivotTable tabId="4" name="PivotTable1"/>
    <pivotTable tabId="4" name="PivotTable3"/>
    <pivotTable tabId="4" name="PivotTable5"/>
  </pivotTables>
  <data>
    <tabular pivotCacheId="737853519">
      <items count="12">
        <i x="6" s="1"/>
        <i x="5" s="1"/>
        <i x="10" s="1"/>
        <i x="7" s="1"/>
        <i x="11" s="1"/>
        <i x="0" s="1"/>
        <i x="8" s="1"/>
        <i x="4" s="1"/>
        <i x="2" s="1"/>
        <i x="3"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7B84BAE7-0DB6-418D-A739-EFC8CB17BEF2}" sourceName="Language">
  <pivotTables>
    <pivotTable tabId="4" name="PivotTable1"/>
    <pivotTable tabId="4" name="PivotTable3"/>
    <pivotTable tabId="4" name="PivotTable5"/>
  </pivotTables>
  <data>
    <tabular pivotCacheId="737853519">
      <items count="6">
        <i x="1" s="1"/>
        <i x="0" s="1"/>
        <i x="5"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4F784AD-D0CC-48F6-9F61-E487DA269C58}" sourceName="Genre">
  <pivotTables>
    <pivotTable tabId="4" name="PivotTable1"/>
    <pivotTable tabId="4" name="PivotTable3"/>
    <pivotTable tabId="4" name="PivotTable5"/>
  </pivotTables>
  <data>
    <tabular pivotCacheId="737853519">
      <items count="10">
        <i x="1" s="1"/>
        <i x="6" s="1"/>
        <i x="8" s="1"/>
        <i x="2" s="1"/>
        <i x="3" s="1"/>
        <i x="5" s="1"/>
        <i x="0" s="1"/>
        <i x="4" s="1"/>
        <i x="9"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20A6A3B-EF32-4AE1-914B-6DED717B1B82}" sourceName="Status">
  <pivotTables>
    <pivotTable tabId="4" name="PivotTable1"/>
    <pivotTable tabId="4" name="PivotTable3"/>
    <pivotTable tabId="4" name="PivotTable5"/>
  </pivotTables>
  <data>
    <tabular pivotCacheId="73785351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Watched" xr10:uid="{044BF259-E064-498B-A3E2-86DDADCB0184}" cache="Slicer_Month_Watched" caption="Month Watched" style="SlicerStyleDark2" rowHeight="241300"/>
  <slicer name="Language" xr10:uid="{0180928C-77F4-4C8D-B381-82587B7BEF8F}" cache="Slicer_Language" caption="Language" style="SlicerStyleDark2" rowHeight="241300"/>
  <slicer name="Genre" xr10:uid="{E0B29E2B-D048-446E-A054-E3DA0ED10686}" cache="Slicer_Genre" caption="Genre" style="SlicerStyleDark2" rowHeight="241300"/>
  <slicer name="Status" xr10:uid="{C786A87A-4AF3-4578-A5AB-903E21F6C12D}" cache="Slicer_Status" caption="Status"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EE763C-4CBF-4705-AB9D-E582F97A8C9B}" name="Table2" displayName="Table2" ref="A1:K201" totalsRowShown="0">
  <autoFilter ref="A1:K201" xr:uid="{76EE763C-4CBF-4705-AB9D-E582F97A8C9B}"/>
  <tableColumns count="11">
    <tableColumn id="1" xr3:uid="{881F3513-2052-45FF-A307-68007C155360}" name="Series ID"/>
    <tableColumn id="2" xr3:uid="{8CEB8F26-CC30-49F2-A088-9670CC5D9BF2}" name="Series Name"/>
    <tableColumn id="3" xr3:uid="{AA7C7D9D-2D82-45A1-A5C3-9ECFDD77F2E9}" name="Genre"/>
    <tableColumn id="4" xr3:uid="{CC118ECE-C976-4645-965C-A5195A10F6FB}" name="Language"/>
    <tableColumn id="5" xr3:uid="{FBA5DB45-FC72-453E-AD77-878AFA9FA922}" name="Release Year"/>
    <tableColumn id="6" xr3:uid="{D9738BEC-C080-467A-9AE7-F2186C9630E9}" name="Seasons"/>
    <tableColumn id="7" xr3:uid="{39191BFE-7B9E-4EB2-8FB5-80ECE0FADFFC}" name="Status"/>
    <tableColumn id="8" xr3:uid="{FFCF84F7-00DF-4BCA-8E92-00214D9A6C6A}" name="Rating"/>
    <tableColumn id="9" xr3:uid="{E9075C68-77BB-4394-B641-961C577F34BF}" name="Watch Hours"/>
    <tableColumn id="10" xr3:uid="{329E2AE7-75D2-4E5B-A3D1-A5B9F6FFD447}" name="Month Watched"/>
    <tableColumn id="11" xr3:uid="{C7BE85D1-91C2-454C-B758-24406191897D}" name="Count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0000"/>
      </a:dk2>
      <a:lt2>
        <a:srgbClr val="0C0C0C"/>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CDA4-3BC2-45CA-AE33-2F78C224F3DF}">
  <dimension ref="A3:S36"/>
  <sheetViews>
    <sheetView workbookViewId="0">
      <selection activeCell="M32" sqref="M32"/>
    </sheetView>
  </sheetViews>
  <sheetFormatPr defaultRowHeight="15" x14ac:dyDescent="0.25"/>
  <cols>
    <col min="1" max="1" width="13.140625" bestFit="1" customWidth="1"/>
    <col min="2" max="2" width="16.85546875" bestFit="1" customWidth="1"/>
    <col min="3" max="3" width="16.7109375" bestFit="1" customWidth="1"/>
    <col min="12" max="12" width="13.28515625" bestFit="1" customWidth="1"/>
    <col min="13" max="13" width="16.85546875" bestFit="1" customWidth="1"/>
    <col min="18" max="18" width="13.140625" bestFit="1" customWidth="1"/>
    <col min="19" max="19" width="19.140625" bestFit="1" customWidth="1"/>
  </cols>
  <sheetData>
    <row r="3" spans="1:13" x14ac:dyDescent="0.25">
      <c r="A3" s="1" t="s">
        <v>300</v>
      </c>
      <c r="B3" t="s">
        <v>302</v>
      </c>
      <c r="L3" s="1" t="s">
        <v>300</v>
      </c>
      <c r="M3" t="s">
        <v>303</v>
      </c>
    </row>
    <row r="4" spans="1:13" x14ac:dyDescent="0.25">
      <c r="A4" s="2" t="s">
        <v>20</v>
      </c>
      <c r="B4" s="3">
        <v>23</v>
      </c>
      <c r="L4" s="2" t="s">
        <v>55</v>
      </c>
      <c r="M4" s="3">
        <v>598.29999999999995</v>
      </c>
    </row>
    <row r="5" spans="1:13" x14ac:dyDescent="0.25">
      <c r="A5" s="2" t="s">
        <v>49</v>
      </c>
      <c r="B5" s="3">
        <v>20</v>
      </c>
      <c r="L5" s="2" t="s">
        <v>46</v>
      </c>
      <c r="M5" s="3">
        <v>541.4</v>
      </c>
    </row>
    <row r="6" spans="1:13" x14ac:dyDescent="0.25">
      <c r="A6" s="2" t="s">
        <v>74</v>
      </c>
      <c r="B6" s="3">
        <v>20</v>
      </c>
      <c r="L6" s="2" t="s">
        <v>77</v>
      </c>
      <c r="M6" s="3">
        <v>402.29999999999995</v>
      </c>
    </row>
    <row r="7" spans="1:13" x14ac:dyDescent="0.25">
      <c r="A7" s="2" t="s">
        <v>26</v>
      </c>
      <c r="B7" s="3">
        <v>21</v>
      </c>
      <c r="L7" s="2" t="s">
        <v>59</v>
      </c>
      <c r="M7" s="3">
        <v>634.80000000000007</v>
      </c>
    </row>
    <row r="8" spans="1:13" x14ac:dyDescent="0.25">
      <c r="A8" s="2" t="s">
        <v>33</v>
      </c>
      <c r="B8" s="3">
        <v>24</v>
      </c>
      <c r="L8" s="2" t="s">
        <v>82</v>
      </c>
      <c r="M8" s="3">
        <v>531.9</v>
      </c>
    </row>
    <row r="9" spans="1:13" x14ac:dyDescent="0.25">
      <c r="A9" s="2" t="s">
        <v>45</v>
      </c>
      <c r="B9" s="3">
        <v>21</v>
      </c>
      <c r="L9" s="2" t="s">
        <v>16</v>
      </c>
      <c r="M9" s="3">
        <v>752.49999999999989</v>
      </c>
    </row>
    <row r="10" spans="1:13" x14ac:dyDescent="0.25">
      <c r="A10" s="2" t="s">
        <v>13</v>
      </c>
      <c r="B10" s="3">
        <v>13</v>
      </c>
      <c r="L10" s="2" t="s">
        <v>65</v>
      </c>
      <c r="M10" s="3">
        <v>637.99999999999989</v>
      </c>
    </row>
    <row r="11" spans="1:13" x14ac:dyDescent="0.25">
      <c r="A11" s="2" t="s">
        <v>40</v>
      </c>
      <c r="B11" s="3">
        <v>25</v>
      </c>
      <c r="L11" s="2" t="s">
        <v>41</v>
      </c>
      <c r="M11" s="3">
        <v>654.9</v>
      </c>
    </row>
    <row r="12" spans="1:13" x14ac:dyDescent="0.25">
      <c r="A12" s="2" t="s">
        <v>115</v>
      </c>
      <c r="B12" s="3">
        <v>16</v>
      </c>
      <c r="L12" s="2" t="s">
        <v>29</v>
      </c>
      <c r="M12" s="3">
        <v>552.70000000000016</v>
      </c>
    </row>
    <row r="13" spans="1:13" x14ac:dyDescent="0.25">
      <c r="A13" s="2" t="s">
        <v>58</v>
      </c>
      <c r="B13" s="3">
        <v>17</v>
      </c>
      <c r="L13" s="2" t="s">
        <v>34</v>
      </c>
      <c r="M13" s="3">
        <v>489.5</v>
      </c>
    </row>
    <row r="14" spans="1:13" x14ac:dyDescent="0.25">
      <c r="A14" s="2" t="s">
        <v>301</v>
      </c>
      <c r="B14" s="3">
        <v>200</v>
      </c>
      <c r="L14" s="2" t="s">
        <v>72</v>
      </c>
      <c r="M14" s="3">
        <v>450.40000000000003</v>
      </c>
    </row>
    <row r="15" spans="1:13" x14ac:dyDescent="0.25">
      <c r="L15" s="2" t="s">
        <v>22</v>
      </c>
      <c r="M15" s="3">
        <v>628.1</v>
      </c>
    </row>
    <row r="16" spans="1:13" x14ac:dyDescent="0.25">
      <c r="L16" s="2" t="s">
        <v>301</v>
      </c>
      <c r="M16" s="3">
        <v>6874.7999999999993</v>
      </c>
    </row>
    <row r="19" spans="2:19" x14ac:dyDescent="0.25">
      <c r="B19" s="1" t="s">
        <v>300</v>
      </c>
      <c r="C19" t="s">
        <v>304</v>
      </c>
    </row>
    <row r="20" spans="2:19" x14ac:dyDescent="0.25">
      <c r="B20" s="2" t="s">
        <v>157</v>
      </c>
      <c r="C20" s="3">
        <v>9.25</v>
      </c>
      <c r="L20" s="1" t="s">
        <v>300</v>
      </c>
      <c r="M20" t="s">
        <v>302</v>
      </c>
    </row>
    <row r="21" spans="2:19" x14ac:dyDescent="0.25">
      <c r="B21" s="2" t="s">
        <v>93</v>
      </c>
      <c r="C21" s="3">
        <v>9.0333333333333332</v>
      </c>
      <c r="L21" s="2" t="s">
        <v>28</v>
      </c>
      <c r="M21" s="3">
        <v>122</v>
      </c>
    </row>
    <row r="22" spans="2:19" x14ac:dyDescent="0.25">
      <c r="B22" s="2" t="s">
        <v>86</v>
      </c>
      <c r="C22" s="3">
        <v>8.9000000000000021</v>
      </c>
      <c r="L22" s="2" t="s">
        <v>71</v>
      </c>
      <c r="M22" s="3">
        <v>25</v>
      </c>
    </row>
    <row r="23" spans="2:19" x14ac:dyDescent="0.25">
      <c r="B23" s="2" t="s">
        <v>81</v>
      </c>
      <c r="C23" s="3">
        <v>8.8500000000000014</v>
      </c>
      <c r="L23" s="2" t="s">
        <v>15</v>
      </c>
      <c r="M23" s="3">
        <v>53</v>
      </c>
    </row>
    <row r="24" spans="2:19" x14ac:dyDescent="0.25">
      <c r="B24" s="2" t="s">
        <v>121</v>
      </c>
      <c r="C24" s="3">
        <v>8.8333333333333339</v>
      </c>
      <c r="L24" s="2" t="s">
        <v>301</v>
      </c>
      <c r="M24" s="3">
        <v>200</v>
      </c>
    </row>
    <row r="25" spans="2:19" x14ac:dyDescent="0.25">
      <c r="B25" s="2" t="s">
        <v>226</v>
      </c>
      <c r="C25" s="3">
        <v>8.65</v>
      </c>
      <c r="R25" s="1" t="s">
        <v>300</v>
      </c>
      <c r="S25" t="s">
        <v>303</v>
      </c>
    </row>
    <row r="26" spans="2:19" x14ac:dyDescent="0.25">
      <c r="B26" s="2" t="s">
        <v>147</v>
      </c>
      <c r="C26" s="3">
        <v>8.5500000000000007</v>
      </c>
      <c r="R26" s="2" t="s">
        <v>20</v>
      </c>
      <c r="S26" s="3">
        <v>841.69999999999993</v>
      </c>
    </row>
    <row r="27" spans="2:19" x14ac:dyDescent="0.25">
      <c r="B27" s="2" t="s">
        <v>88</v>
      </c>
      <c r="C27" s="3">
        <v>8.4833333333333325</v>
      </c>
      <c r="R27" s="2" t="s">
        <v>49</v>
      </c>
      <c r="S27" s="3">
        <v>623.90000000000009</v>
      </c>
    </row>
    <row r="28" spans="2:19" x14ac:dyDescent="0.25">
      <c r="B28" s="2" t="s">
        <v>171</v>
      </c>
      <c r="C28" s="3">
        <v>8.48</v>
      </c>
      <c r="R28" s="2" t="s">
        <v>74</v>
      </c>
      <c r="S28" s="3">
        <v>700.69999999999993</v>
      </c>
    </row>
    <row r="29" spans="2:19" x14ac:dyDescent="0.25">
      <c r="B29" s="2" t="s">
        <v>39</v>
      </c>
      <c r="C29" s="3">
        <v>8.48</v>
      </c>
      <c r="R29" s="2" t="s">
        <v>26</v>
      </c>
      <c r="S29" s="3">
        <v>684.80000000000007</v>
      </c>
    </row>
    <row r="30" spans="2:19" x14ac:dyDescent="0.25">
      <c r="B30" s="2" t="s">
        <v>301</v>
      </c>
      <c r="C30" s="3">
        <v>8.770212765957444</v>
      </c>
      <c r="R30" s="2" t="s">
        <v>33</v>
      </c>
      <c r="S30" s="3">
        <v>788</v>
      </c>
    </row>
    <row r="31" spans="2:19" x14ac:dyDescent="0.25">
      <c r="R31" s="2" t="s">
        <v>45</v>
      </c>
      <c r="S31" s="3">
        <v>824.2</v>
      </c>
    </row>
    <row r="32" spans="2:19" x14ac:dyDescent="0.25">
      <c r="R32" s="2" t="s">
        <v>13</v>
      </c>
      <c r="S32" s="3">
        <v>395.7</v>
      </c>
    </row>
    <row r="33" spans="18:19" x14ac:dyDescent="0.25">
      <c r="R33" s="2" t="s">
        <v>40</v>
      </c>
      <c r="S33" s="3">
        <v>836.09999999999991</v>
      </c>
    </row>
    <row r="34" spans="18:19" x14ac:dyDescent="0.25">
      <c r="R34" s="2" t="s">
        <v>115</v>
      </c>
      <c r="S34" s="3">
        <v>643.70000000000016</v>
      </c>
    </row>
    <row r="35" spans="18:19" x14ac:dyDescent="0.25">
      <c r="R35" s="2" t="s">
        <v>58</v>
      </c>
      <c r="S35" s="3">
        <v>536</v>
      </c>
    </row>
    <row r="36" spans="18:19" x14ac:dyDescent="0.25">
      <c r="R36" s="2" t="s">
        <v>301</v>
      </c>
      <c r="S36" s="3">
        <v>6874.8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opLeftCell="A2" zoomScale="110" workbookViewId="0">
      <selection activeCell="B19" sqref="A19:XFD19"/>
    </sheetView>
  </sheetViews>
  <sheetFormatPr defaultRowHeight="15" x14ac:dyDescent="0.25"/>
  <cols>
    <col min="1" max="1" width="10.85546875" customWidth="1"/>
    <col min="2" max="2" width="14.28515625" customWidth="1"/>
    <col min="4" max="4" width="11.42578125" customWidth="1"/>
    <col min="5" max="5" width="14.5703125" customWidth="1"/>
    <col min="6" max="6" width="10.28515625" customWidth="1"/>
    <col min="9" max="9" width="14.42578125" customWidth="1"/>
    <col min="10" max="10" width="17.5703125" customWidth="1"/>
    <col min="11" max="11" width="10.140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2022</v>
      </c>
      <c r="F2">
        <v>4</v>
      </c>
      <c r="G2" t="s">
        <v>15</v>
      </c>
      <c r="H2">
        <v>6.8</v>
      </c>
      <c r="I2">
        <v>56.5</v>
      </c>
      <c r="J2" t="s">
        <v>16</v>
      </c>
      <c r="K2" t="s">
        <v>17</v>
      </c>
    </row>
    <row r="3" spans="1:11" x14ac:dyDescent="0.25">
      <c r="A3" t="s">
        <v>18</v>
      </c>
      <c r="B3" t="s">
        <v>19</v>
      </c>
      <c r="C3" t="s">
        <v>20</v>
      </c>
      <c r="D3" t="s">
        <v>21</v>
      </c>
      <c r="E3">
        <v>2018</v>
      </c>
      <c r="F3">
        <v>2</v>
      </c>
      <c r="G3" t="s">
        <v>15</v>
      </c>
      <c r="H3">
        <v>8.1</v>
      </c>
      <c r="I3">
        <v>15.7</v>
      </c>
      <c r="J3" t="s">
        <v>22</v>
      </c>
      <c r="K3" t="s">
        <v>23</v>
      </c>
    </row>
    <row r="4" spans="1:11" x14ac:dyDescent="0.25">
      <c r="A4" t="s">
        <v>24</v>
      </c>
      <c r="B4" t="s">
        <v>25</v>
      </c>
      <c r="C4" t="s">
        <v>26</v>
      </c>
      <c r="D4" t="s">
        <v>27</v>
      </c>
      <c r="E4">
        <v>2018</v>
      </c>
      <c r="F4">
        <v>2</v>
      </c>
      <c r="G4" t="s">
        <v>28</v>
      </c>
      <c r="H4">
        <v>6.8</v>
      </c>
      <c r="I4">
        <v>37.700000000000003</v>
      </c>
      <c r="J4" t="s">
        <v>29</v>
      </c>
      <c r="K4" t="s">
        <v>30</v>
      </c>
    </row>
    <row r="5" spans="1:11" x14ac:dyDescent="0.25">
      <c r="A5" t="s">
        <v>31</v>
      </c>
      <c r="B5" t="s">
        <v>32</v>
      </c>
      <c r="C5" t="s">
        <v>33</v>
      </c>
      <c r="D5" t="s">
        <v>14</v>
      </c>
      <c r="E5">
        <v>2021</v>
      </c>
      <c r="F5">
        <v>2</v>
      </c>
      <c r="G5" t="s">
        <v>28</v>
      </c>
      <c r="H5">
        <v>7.1</v>
      </c>
      <c r="I5">
        <v>11.4</v>
      </c>
      <c r="J5" t="s">
        <v>34</v>
      </c>
      <c r="K5" t="s">
        <v>35</v>
      </c>
    </row>
    <row r="6" spans="1:11" x14ac:dyDescent="0.25">
      <c r="A6" t="s">
        <v>36</v>
      </c>
      <c r="B6" t="s">
        <v>37</v>
      </c>
      <c r="C6" t="s">
        <v>26</v>
      </c>
      <c r="D6" t="s">
        <v>14</v>
      </c>
      <c r="E6">
        <v>2019</v>
      </c>
      <c r="F6">
        <v>6</v>
      </c>
      <c r="G6" t="s">
        <v>28</v>
      </c>
      <c r="H6">
        <v>9.1999999999999993</v>
      </c>
      <c r="I6">
        <v>17.5</v>
      </c>
      <c r="J6" t="s">
        <v>34</v>
      </c>
      <c r="K6" t="s">
        <v>17</v>
      </c>
    </row>
    <row r="7" spans="1:11" x14ac:dyDescent="0.25">
      <c r="A7" t="s">
        <v>38</v>
      </c>
      <c r="B7" t="s">
        <v>39</v>
      </c>
      <c r="C7" t="s">
        <v>40</v>
      </c>
      <c r="D7" t="s">
        <v>14</v>
      </c>
      <c r="E7">
        <v>2020</v>
      </c>
      <c r="F7">
        <v>4</v>
      </c>
      <c r="G7" t="s">
        <v>15</v>
      </c>
      <c r="H7">
        <v>6.8</v>
      </c>
      <c r="I7">
        <v>28.3</v>
      </c>
      <c r="J7" t="s">
        <v>41</v>
      </c>
      <c r="K7" t="s">
        <v>42</v>
      </c>
    </row>
    <row r="8" spans="1:11" x14ac:dyDescent="0.25">
      <c r="A8" t="s">
        <v>43</v>
      </c>
      <c r="B8" t="s">
        <v>44</v>
      </c>
      <c r="C8" t="s">
        <v>45</v>
      </c>
      <c r="D8" t="s">
        <v>14</v>
      </c>
      <c r="E8">
        <v>2015</v>
      </c>
      <c r="F8">
        <v>2</v>
      </c>
      <c r="G8" t="s">
        <v>28</v>
      </c>
      <c r="H8">
        <v>8.1</v>
      </c>
      <c r="I8">
        <v>29</v>
      </c>
      <c r="J8" t="s">
        <v>46</v>
      </c>
      <c r="K8" t="s">
        <v>42</v>
      </c>
    </row>
    <row r="9" spans="1:11" x14ac:dyDescent="0.25">
      <c r="A9" t="s">
        <v>47</v>
      </c>
      <c r="B9" t="s">
        <v>48</v>
      </c>
      <c r="C9" t="s">
        <v>49</v>
      </c>
      <c r="D9" t="s">
        <v>14</v>
      </c>
      <c r="E9">
        <v>2025</v>
      </c>
      <c r="F9">
        <v>1</v>
      </c>
      <c r="G9" t="s">
        <v>15</v>
      </c>
      <c r="H9">
        <v>6.6</v>
      </c>
      <c r="I9">
        <v>13.7</v>
      </c>
      <c r="J9" t="s">
        <v>16</v>
      </c>
      <c r="K9" t="s">
        <v>17</v>
      </c>
    </row>
    <row r="10" spans="1:11" x14ac:dyDescent="0.25">
      <c r="A10" t="s">
        <v>50</v>
      </c>
      <c r="B10" t="s">
        <v>51</v>
      </c>
      <c r="C10" t="s">
        <v>13</v>
      </c>
      <c r="D10" t="s">
        <v>52</v>
      </c>
      <c r="E10">
        <v>2016</v>
      </c>
      <c r="F10">
        <v>4</v>
      </c>
      <c r="G10" t="s">
        <v>15</v>
      </c>
      <c r="H10">
        <v>7.6</v>
      </c>
      <c r="I10">
        <v>22.3</v>
      </c>
      <c r="J10" t="s">
        <v>16</v>
      </c>
      <c r="K10" t="s">
        <v>42</v>
      </c>
    </row>
    <row r="11" spans="1:11" x14ac:dyDescent="0.25">
      <c r="A11" t="s">
        <v>53</v>
      </c>
      <c r="B11" t="s">
        <v>54</v>
      </c>
      <c r="C11" t="s">
        <v>13</v>
      </c>
      <c r="D11" t="s">
        <v>27</v>
      </c>
      <c r="E11">
        <v>2024</v>
      </c>
      <c r="F11">
        <v>8</v>
      </c>
      <c r="G11" t="s">
        <v>15</v>
      </c>
      <c r="H11">
        <v>9</v>
      </c>
      <c r="I11">
        <v>32.1</v>
      </c>
      <c r="J11" t="s">
        <v>55</v>
      </c>
      <c r="K11" t="s">
        <v>35</v>
      </c>
    </row>
    <row r="12" spans="1:11" x14ac:dyDescent="0.25">
      <c r="A12" t="s">
        <v>56</v>
      </c>
      <c r="B12" t="s">
        <v>57</v>
      </c>
      <c r="C12" t="s">
        <v>58</v>
      </c>
      <c r="D12" t="s">
        <v>52</v>
      </c>
      <c r="E12">
        <v>2023</v>
      </c>
      <c r="F12">
        <v>1</v>
      </c>
      <c r="G12" t="s">
        <v>28</v>
      </c>
      <c r="H12">
        <v>7.8</v>
      </c>
      <c r="I12">
        <v>35.4</v>
      </c>
      <c r="J12" t="s">
        <v>59</v>
      </c>
      <c r="K12" t="s">
        <v>60</v>
      </c>
    </row>
    <row r="13" spans="1:11" x14ac:dyDescent="0.25">
      <c r="A13" t="s">
        <v>61</v>
      </c>
      <c r="B13" t="s">
        <v>62</v>
      </c>
      <c r="C13" t="s">
        <v>49</v>
      </c>
      <c r="D13" t="s">
        <v>27</v>
      </c>
      <c r="E13">
        <v>2016</v>
      </c>
      <c r="F13">
        <v>8</v>
      </c>
      <c r="G13" t="s">
        <v>28</v>
      </c>
      <c r="H13">
        <v>7.8</v>
      </c>
      <c r="I13">
        <v>45.4</v>
      </c>
      <c r="J13" t="s">
        <v>55</v>
      </c>
      <c r="K13" t="s">
        <v>60</v>
      </c>
    </row>
    <row r="14" spans="1:11" x14ac:dyDescent="0.25">
      <c r="A14" t="s">
        <v>63</v>
      </c>
      <c r="B14" t="s">
        <v>64</v>
      </c>
      <c r="C14" t="s">
        <v>45</v>
      </c>
      <c r="D14" t="s">
        <v>21</v>
      </c>
      <c r="E14">
        <v>2020</v>
      </c>
      <c r="F14">
        <v>8</v>
      </c>
      <c r="G14" t="s">
        <v>15</v>
      </c>
      <c r="H14">
        <v>9.6999999999999993</v>
      </c>
      <c r="I14">
        <v>48.1</v>
      </c>
      <c r="J14" t="s">
        <v>65</v>
      </c>
      <c r="K14" t="s">
        <v>60</v>
      </c>
    </row>
    <row r="15" spans="1:11" x14ac:dyDescent="0.25">
      <c r="A15" t="s">
        <v>66</v>
      </c>
      <c r="B15" t="s">
        <v>67</v>
      </c>
      <c r="C15" t="s">
        <v>40</v>
      </c>
      <c r="D15" t="s">
        <v>52</v>
      </c>
      <c r="E15">
        <v>2016</v>
      </c>
      <c r="F15">
        <v>5</v>
      </c>
      <c r="G15" t="s">
        <v>28</v>
      </c>
      <c r="H15">
        <v>8.6999999999999993</v>
      </c>
      <c r="I15">
        <v>53</v>
      </c>
      <c r="J15" t="s">
        <v>16</v>
      </c>
      <c r="K15" t="s">
        <v>68</v>
      </c>
    </row>
    <row r="16" spans="1:11" x14ac:dyDescent="0.25">
      <c r="A16" t="s">
        <v>69</v>
      </c>
      <c r="B16" t="s">
        <v>70</v>
      </c>
      <c r="C16" t="s">
        <v>20</v>
      </c>
      <c r="D16" t="s">
        <v>27</v>
      </c>
      <c r="E16">
        <v>2023</v>
      </c>
      <c r="F16">
        <v>5</v>
      </c>
      <c r="G16" t="s">
        <v>71</v>
      </c>
      <c r="H16">
        <v>6.7</v>
      </c>
      <c r="I16">
        <v>59.3</v>
      </c>
      <c r="J16" t="s">
        <v>72</v>
      </c>
      <c r="K16" t="s">
        <v>23</v>
      </c>
    </row>
    <row r="17" spans="1:11" x14ac:dyDescent="0.25">
      <c r="A17" t="s">
        <v>73</v>
      </c>
      <c r="B17" t="s">
        <v>54</v>
      </c>
      <c r="C17" t="s">
        <v>74</v>
      </c>
      <c r="D17" t="s">
        <v>21</v>
      </c>
      <c r="E17">
        <v>2025</v>
      </c>
      <c r="F17">
        <v>8</v>
      </c>
      <c r="G17" t="s">
        <v>28</v>
      </c>
      <c r="H17">
        <v>7.3</v>
      </c>
      <c r="I17">
        <v>53.3</v>
      </c>
      <c r="J17" t="s">
        <v>29</v>
      </c>
      <c r="K17" t="s">
        <v>30</v>
      </c>
    </row>
    <row r="18" spans="1:11" x14ac:dyDescent="0.25">
      <c r="A18" t="s">
        <v>75</v>
      </c>
      <c r="B18" t="s">
        <v>32</v>
      </c>
      <c r="C18" t="s">
        <v>20</v>
      </c>
      <c r="D18" t="s">
        <v>76</v>
      </c>
      <c r="E18">
        <v>2017</v>
      </c>
      <c r="F18">
        <v>6</v>
      </c>
      <c r="G18" t="s">
        <v>28</v>
      </c>
      <c r="H18">
        <v>9.3000000000000007</v>
      </c>
      <c r="I18">
        <v>24.4</v>
      </c>
      <c r="J18" t="s">
        <v>77</v>
      </c>
      <c r="K18" t="s">
        <v>30</v>
      </c>
    </row>
    <row r="19" spans="1:11" x14ac:dyDescent="0.25">
      <c r="A19" t="s">
        <v>78</v>
      </c>
      <c r="B19" t="s">
        <v>12</v>
      </c>
      <c r="C19" t="s">
        <v>74</v>
      </c>
      <c r="D19" t="s">
        <v>52</v>
      </c>
      <c r="E19">
        <v>2022</v>
      </c>
      <c r="F19">
        <v>8</v>
      </c>
      <c r="G19" t="s">
        <v>28</v>
      </c>
      <c r="H19">
        <v>8.6</v>
      </c>
      <c r="I19">
        <v>19.399999999999999</v>
      </c>
      <c r="J19" t="s">
        <v>65</v>
      </c>
      <c r="K19" t="s">
        <v>30</v>
      </c>
    </row>
    <row r="20" spans="1:11" x14ac:dyDescent="0.25">
      <c r="A20" t="s">
        <v>79</v>
      </c>
      <c r="B20" t="s">
        <v>25</v>
      </c>
      <c r="C20" t="s">
        <v>58</v>
      </c>
      <c r="D20" t="s">
        <v>27</v>
      </c>
      <c r="E20">
        <v>2025</v>
      </c>
      <c r="F20">
        <v>1</v>
      </c>
      <c r="G20" t="s">
        <v>15</v>
      </c>
      <c r="H20">
        <v>8.4</v>
      </c>
      <c r="I20">
        <v>35.799999999999997</v>
      </c>
      <c r="J20" t="s">
        <v>22</v>
      </c>
      <c r="K20" t="s">
        <v>17</v>
      </c>
    </row>
    <row r="21" spans="1:11" x14ac:dyDescent="0.25">
      <c r="A21" t="s">
        <v>80</v>
      </c>
      <c r="B21" t="s">
        <v>81</v>
      </c>
      <c r="C21" t="s">
        <v>26</v>
      </c>
      <c r="D21" t="s">
        <v>76</v>
      </c>
      <c r="E21">
        <v>2025</v>
      </c>
      <c r="F21">
        <v>8</v>
      </c>
      <c r="G21" t="s">
        <v>15</v>
      </c>
      <c r="H21">
        <v>8.8000000000000007</v>
      </c>
      <c r="I21">
        <v>46.8</v>
      </c>
      <c r="J21" t="s">
        <v>82</v>
      </c>
      <c r="K21" t="s">
        <v>60</v>
      </c>
    </row>
    <row r="22" spans="1:11" x14ac:dyDescent="0.25">
      <c r="A22" t="s">
        <v>83</v>
      </c>
      <c r="B22" t="s">
        <v>84</v>
      </c>
      <c r="C22" t="s">
        <v>49</v>
      </c>
      <c r="D22" t="s">
        <v>14</v>
      </c>
      <c r="E22">
        <v>2022</v>
      </c>
      <c r="F22">
        <v>4</v>
      </c>
      <c r="G22" t="s">
        <v>28</v>
      </c>
      <c r="H22">
        <v>8.9</v>
      </c>
      <c r="I22">
        <v>40.700000000000003</v>
      </c>
      <c r="J22" t="s">
        <v>72</v>
      </c>
      <c r="K22" t="s">
        <v>35</v>
      </c>
    </row>
    <row r="23" spans="1:11" x14ac:dyDescent="0.25">
      <c r="A23" t="s">
        <v>85</v>
      </c>
      <c r="B23" t="s">
        <v>86</v>
      </c>
      <c r="C23" t="s">
        <v>49</v>
      </c>
      <c r="D23" t="s">
        <v>14</v>
      </c>
      <c r="E23">
        <v>2023</v>
      </c>
      <c r="F23">
        <v>3</v>
      </c>
      <c r="G23" t="s">
        <v>28</v>
      </c>
      <c r="H23">
        <v>9.5</v>
      </c>
      <c r="I23">
        <v>42</v>
      </c>
      <c r="J23" t="s">
        <v>55</v>
      </c>
      <c r="K23" t="s">
        <v>35</v>
      </c>
    </row>
    <row r="24" spans="1:11" x14ac:dyDescent="0.25">
      <c r="A24" t="s">
        <v>87</v>
      </c>
      <c r="B24" t="s">
        <v>88</v>
      </c>
      <c r="C24" t="s">
        <v>49</v>
      </c>
      <c r="D24" t="s">
        <v>27</v>
      </c>
      <c r="E24">
        <v>2016</v>
      </c>
      <c r="F24">
        <v>2</v>
      </c>
      <c r="G24" t="s">
        <v>28</v>
      </c>
      <c r="H24">
        <v>9.1999999999999993</v>
      </c>
      <c r="I24">
        <v>59.1</v>
      </c>
      <c r="J24" t="s">
        <v>59</v>
      </c>
      <c r="K24" t="s">
        <v>30</v>
      </c>
    </row>
    <row r="25" spans="1:11" x14ac:dyDescent="0.25">
      <c r="A25" t="s">
        <v>89</v>
      </c>
      <c r="B25" t="s">
        <v>64</v>
      </c>
      <c r="C25" t="s">
        <v>74</v>
      </c>
      <c r="D25" t="s">
        <v>52</v>
      </c>
      <c r="E25">
        <v>2020</v>
      </c>
      <c r="F25">
        <v>1</v>
      </c>
      <c r="G25" t="s">
        <v>15</v>
      </c>
      <c r="H25">
        <v>6.9</v>
      </c>
      <c r="I25">
        <v>40.1</v>
      </c>
      <c r="J25" t="s">
        <v>72</v>
      </c>
      <c r="K25" t="s">
        <v>17</v>
      </c>
    </row>
    <row r="26" spans="1:11" x14ac:dyDescent="0.25">
      <c r="A26" t="s">
        <v>90</v>
      </c>
      <c r="B26" t="s">
        <v>91</v>
      </c>
      <c r="C26" t="s">
        <v>33</v>
      </c>
      <c r="D26" t="s">
        <v>14</v>
      </c>
      <c r="E26">
        <v>2017</v>
      </c>
      <c r="F26">
        <v>4</v>
      </c>
      <c r="G26" t="s">
        <v>28</v>
      </c>
      <c r="H26">
        <v>8.9</v>
      </c>
      <c r="I26">
        <v>22.2</v>
      </c>
      <c r="J26" t="s">
        <v>59</v>
      </c>
      <c r="K26" t="s">
        <v>30</v>
      </c>
    </row>
    <row r="27" spans="1:11" x14ac:dyDescent="0.25">
      <c r="A27" t="s">
        <v>92</v>
      </c>
      <c r="B27" t="s">
        <v>93</v>
      </c>
      <c r="C27" t="s">
        <v>20</v>
      </c>
      <c r="D27" t="s">
        <v>27</v>
      </c>
      <c r="E27">
        <v>2024</v>
      </c>
      <c r="F27">
        <v>3</v>
      </c>
      <c r="G27" t="s">
        <v>28</v>
      </c>
      <c r="H27">
        <v>9.3000000000000007</v>
      </c>
      <c r="I27">
        <v>49.8</v>
      </c>
      <c r="J27" t="s">
        <v>16</v>
      </c>
      <c r="K27" t="s">
        <v>60</v>
      </c>
    </row>
    <row r="28" spans="1:11" x14ac:dyDescent="0.25">
      <c r="A28" t="s">
        <v>94</v>
      </c>
      <c r="B28" t="s">
        <v>93</v>
      </c>
      <c r="C28" t="s">
        <v>74</v>
      </c>
      <c r="D28" t="s">
        <v>76</v>
      </c>
      <c r="E28">
        <v>2017</v>
      </c>
      <c r="F28">
        <v>6</v>
      </c>
      <c r="G28" t="s">
        <v>28</v>
      </c>
      <c r="H28">
        <v>9.6999999999999993</v>
      </c>
      <c r="I28">
        <v>35.799999999999997</v>
      </c>
      <c r="J28" t="s">
        <v>77</v>
      </c>
      <c r="K28" t="s">
        <v>30</v>
      </c>
    </row>
    <row r="29" spans="1:11" x14ac:dyDescent="0.25">
      <c r="A29" t="s">
        <v>95</v>
      </c>
      <c r="B29" t="s">
        <v>96</v>
      </c>
      <c r="C29" t="s">
        <v>20</v>
      </c>
      <c r="D29" t="s">
        <v>14</v>
      </c>
      <c r="E29">
        <v>2021</v>
      </c>
      <c r="F29">
        <v>6</v>
      </c>
      <c r="G29" t="s">
        <v>28</v>
      </c>
      <c r="H29">
        <v>9</v>
      </c>
      <c r="I29">
        <v>13.8</v>
      </c>
      <c r="J29" t="s">
        <v>55</v>
      </c>
      <c r="K29" t="s">
        <v>35</v>
      </c>
    </row>
    <row r="30" spans="1:11" x14ac:dyDescent="0.25">
      <c r="A30" t="s">
        <v>97</v>
      </c>
      <c r="B30" t="s">
        <v>98</v>
      </c>
      <c r="C30" t="s">
        <v>40</v>
      </c>
      <c r="D30" t="s">
        <v>99</v>
      </c>
      <c r="E30">
        <v>2018</v>
      </c>
      <c r="F30">
        <v>2</v>
      </c>
      <c r="G30" t="s">
        <v>15</v>
      </c>
      <c r="H30">
        <v>9.1</v>
      </c>
      <c r="I30">
        <v>45.3</v>
      </c>
      <c r="J30" t="s">
        <v>72</v>
      </c>
      <c r="K30" t="s">
        <v>68</v>
      </c>
    </row>
    <row r="31" spans="1:11" x14ac:dyDescent="0.25">
      <c r="A31" t="s">
        <v>100</v>
      </c>
      <c r="B31" t="s">
        <v>84</v>
      </c>
      <c r="C31" t="s">
        <v>74</v>
      </c>
      <c r="D31" t="s">
        <v>99</v>
      </c>
      <c r="E31">
        <v>2015</v>
      </c>
      <c r="F31">
        <v>5</v>
      </c>
      <c r="G31" t="s">
        <v>28</v>
      </c>
      <c r="H31">
        <v>8.9</v>
      </c>
      <c r="I31">
        <v>29.7</v>
      </c>
      <c r="J31" t="s">
        <v>46</v>
      </c>
      <c r="K31" t="s">
        <v>30</v>
      </c>
    </row>
    <row r="32" spans="1:11" x14ac:dyDescent="0.25">
      <c r="A32" t="s">
        <v>101</v>
      </c>
      <c r="B32" t="s">
        <v>84</v>
      </c>
      <c r="C32" t="s">
        <v>26</v>
      </c>
      <c r="D32" t="s">
        <v>14</v>
      </c>
      <c r="E32">
        <v>2023</v>
      </c>
      <c r="F32">
        <v>6</v>
      </c>
      <c r="G32" t="s">
        <v>15</v>
      </c>
      <c r="H32">
        <v>9.6999999999999993</v>
      </c>
      <c r="I32">
        <v>26.7</v>
      </c>
      <c r="J32" t="s">
        <v>55</v>
      </c>
      <c r="K32" t="s">
        <v>60</v>
      </c>
    </row>
    <row r="33" spans="1:11" x14ac:dyDescent="0.25">
      <c r="A33" t="s">
        <v>102</v>
      </c>
      <c r="B33" t="s">
        <v>96</v>
      </c>
      <c r="C33" t="s">
        <v>74</v>
      </c>
      <c r="D33" t="s">
        <v>76</v>
      </c>
      <c r="E33">
        <v>2016</v>
      </c>
      <c r="F33">
        <v>5</v>
      </c>
      <c r="G33" t="s">
        <v>15</v>
      </c>
      <c r="H33">
        <v>7.8</v>
      </c>
      <c r="I33">
        <v>57.1</v>
      </c>
      <c r="J33" t="s">
        <v>77</v>
      </c>
      <c r="K33" t="s">
        <v>68</v>
      </c>
    </row>
    <row r="34" spans="1:11" x14ac:dyDescent="0.25">
      <c r="A34" t="s">
        <v>103</v>
      </c>
      <c r="B34" t="s">
        <v>104</v>
      </c>
      <c r="C34" t="s">
        <v>13</v>
      </c>
      <c r="D34" t="s">
        <v>52</v>
      </c>
      <c r="E34">
        <v>2023</v>
      </c>
      <c r="F34">
        <v>3</v>
      </c>
      <c r="G34" t="s">
        <v>28</v>
      </c>
      <c r="H34">
        <v>7.2</v>
      </c>
      <c r="I34">
        <v>56.7</v>
      </c>
      <c r="J34" t="s">
        <v>22</v>
      </c>
      <c r="K34" t="s">
        <v>35</v>
      </c>
    </row>
    <row r="35" spans="1:11" x14ac:dyDescent="0.25">
      <c r="A35" t="s">
        <v>105</v>
      </c>
      <c r="B35" t="s">
        <v>106</v>
      </c>
      <c r="C35" t="s">
        <v>26</v>
      </c>
      <c r="D35" t="s">
        <v>52</v>
      </c>
      <c r="E35">
        <v>2021</v>
      </c>
      <c r="F35">
        <v>1</v>
      </c>
      <c r="G35" t="s">
        <v>15</v>
      </c>
      <c r="H35">
        <v>7</v>
      </c>
      <c r="I35">
        <v>53.3</v>
      </c>
      <c r="J35" t="s">
        <v>59</v>
      </c>
      <c r="K35" t="s">
        <v>17</v>
      </c>
    </row>
    <row r="36" spans="1:11" x14ac:dyDescent="0.25">
      <c r="A36" t="s">
        <v>107</v>
      </c>
      <c r="B36" t="s">
        <v>108</v>
      </c>
      <c r="C36" t="s">
        <v>45</v>
      </c>
      <c r="D36" t="s">
        <v>52</v>
      </c>
      <c r="E36">
        <v>2021</v>
      </c>
      <c r="F36">
        <v>3</v>
      </c>
      <c r="G36" t="s">
        <v>15</v>
      </c>
      <c r="H36">
        <v>6.8</v>
      </c>
      <c r="I36">
        <v>53.4</v>
      </c>
      <c r="J36" t="s">
        <v>41</v>
      </c>
      <c r="K36" t="s">
        <v>68</v>
      </c>
    </row>
    <row r="37" spans="1:11" x14ac:dyDescent="0.25">
      <c r="A37" t="s">
        <v>109</v>
      </c>
      <c r="B37" t="s">
        <v>70</v>
      </c>
      <c r="C37" t="s">
        <v>74</v>
      </c>
      <c r="D37" t="s">
        <v>52</v>
      </c>
      <c r="E37">
        <v>2023</v>
      </c>
      <c r="F37">
        <v>3</v>
      </c>
      <c r="G37" t="s">
        <v>71</v>
      </c>
      <c r="H37">
        <v>7.4</v>
      </c>
      <c r="I37">
        <v>15.3</v>
      </c>
      <c r="J37" t="s">
        <v>34</v>
      </c>
      <c r="K37" t="s">
        <v>35</v>
      </c>
    </row>
    <row r="38" spans="1:11" x14ac:dyDescent="0.25">
      <c r="A38" t="s">
        <v>110</v>
      </c>
      <c r="B38" t="s">
        <v>57</v>
      </c>
      <c r="C38" t="s">
        <v>40</v>
      </c>
      <c r="D38" t="s">
        <v>27</v>
      </c>
      <c r="E38">
        <v>2020</v>
      </c>
      <c r="F38">
        <v>7</v>
      </c>
      <c r="G38" t="s">
        <v>28</v>
      </c>
      <c r="H38">
        <v>9.5</v>
      </c>
      <c r="I38">
        <v>56.5</v>
      </c>
      <c r="J38" t="s">
        <v>29</v>
      </c>
      <c r="K38" t="s">
        <v>17</v>
      </c>
    </row>
    <row r="39" spans="1:11" x14ac:dyDescent="0.25">
      <c r="A39" t="s">
        <v>111</v>
      </c>
      <c r="B39" t="s">
        <v>112</v>
      </c>
      <c r="C39" t="s">
        <v>40</v>
      </c>
      <c r="D39" t="s">
        <v>27</v>
      </c>
      <c r="E39">
        <v>2015</v>
      </c>
      <c r="F39">
        <v>7</v>
      </c>
      <c r="G39" t="s">
        <v>28</v>
      </c>
      <c r="H39">
        <v>7.9</v>
      </c>
      <c r="I39">
        <v>58.1</v>
      </c>
      <c r="J39" t="s">
        <v>72</v>
      </c>
      <c r="K39" t="s">
        <v>68</v>
      </c>
    </row>
    <row r="40" spans="1:11" x14ac:dyDescent="0.25">
      <c r="A40" t="s">
        <v>113</v>
      </c>
      <c r="B40" t="s">
        <v>114</v>
      </c>
      <c r="C40" t="s">
        <v>115</v>
      </c>
      <c r="D40" t="s">
        <v>21</v>
      </c>
      <c r="E40">
        <v>2021</v>
      </c>
      <c r="F40">
        <v>3</v>
      </c>
      <c r="G40" t="s">
        <v>28</v>
      </c>
      <c r="H40">
        <v>8.6999999999999993</v>
      </c>
      <c r="I40">
        <v>55.6</v>
      </c>
      <c r="J40" t="s">
        <v>55</v>
      </c>
      <c r="K40" t="s">
        <v>35</v>
      </c>
    </row>
    <row r="41" spans="1:11" x14ac:dyDescent="0.25">
      <c r="A41" t="s">
        <v>116</v>
      </c>
      <c r="B41" t="s">
        <v>84</v>
      </c>
      <c r="C41" t="s">
        <v>49</v>
      </c>
      <c r="D41" t="s">
        <v>99</v>
      </c>
      <c r="E41">
        <v>2017</v>
      </c>
      <c r="F41">
        <v>2</v>
      </c>
      <c r="G41" t="s">
        <v>15</v>
      </c>
      <c r="H41">
        <v>9.1</v>
      </c>
      <c r="I41">
        <v>12.7</v>
      </c>
      <c r="J41" t="s">
        <v>46</v>
      </c>
      <c r="K41" t="s">
        <v>23</v>
      </c>
    </row>
    <row r="42" spans="1:11" x14ac:dyDescent="0.25">
      <c r="A42" t="s">
        <v>117</v>
      </c>
      <c r="B42" t="s">
        <v>114</v>
      </c>
      <c r="C42" t="s">
        <v>33</v>
      </c>
      <c r="D42" t="s">
        <v>14</v>
      </c>
      <c r="E42">
        <v>2019</v>
      </c>
      <c r="F42">
        <v>4</v>
      </c>
      <c r="G42" t="s">
        <v>28</v>
      </c>
      <c r="H42">
        <v>8</v>
      </c>
      <c r="I42">
        <v>48.7</v>
      </c>
      <c r="J42" t="s">
        <v>41</v>
      </c>
      <c r="K42" t="s">
        <v>35</v>
      </c>
    </row>
    <row r="43" spans="1:11" x14ac:dyDescent="0.25">
      <c r="A43" t="s">
        <v>118</v>
      </c>
      <c r="B43" t="s">
        <v>19</v>
      </c>
      <c r="C43" t="s">
        <v>33</v>
      </c>
      <c r="D43" t="s">
        <v>21</v>
      </c>
      <c r="E43">
        <v>2020</v>
      </c>
      <c r="F43">
        <v>6</v>
      </c>
      <c r="G43" t="s">
        <v>28</v>
      </c>
      <c r="H43">
        <v>8.1999999999999993</v>
      </c>
      <c r="I43">
        <v>18.100000000000001</v>
      </c>
      <c r="J43" t="s">
        <v>29</v>
      </c>
      <c r="K43" t="s">
        <v>35</v>
      </c>
    </row>
    <row r="44" spans="1:11" x14ac:dyDescent="0.25">
      <c r="A44" t="s">
        <v>119</v>
      </c>
      <c r="B44" t="s">
        <v>114</v>
      </c>
      <c r="C44" t="s">
        <v>33</v>
      </c>
      <c r="D44" t="s">
        <v>21</v>
      </c>
      <c r="E44">
        <v>2016</v>
      </c>
      <c r="F44">
        <v>5</v>
      </c>
      <c r="G44" t="s">
        <v>71</v>
      </c>
      <c r="H44">
        <v>8.5</v>
      </c>
      <c r="I44">
        <v>54.2</v>
      </c>
      <c r="J44" t="s">
        <v>16</v>
      </c>
      <c r="K44" t="s">
        <v>68</v>
      </c>
    </row>
    <row r="45" spans="1:11" x14ac:dyDescent="0.25">
      <c r="A45" t="s">
        <v>120</v>
      </c>
      <c r="B45" t="s">
        <v>121</v>
      </c>
      <c r="C45" t="s">
        <v>40</v>
      </c>
      <c r="D45" t="s">
        <v>99</v>
      </c>
      <c r="E45">
        <v>2025</v>
      </c>
      <c r="F45">
        <v>6</v>
      </c>
      <c r="G45" t="s">
        <v>28</v>
      </c>
      <c r="H45">
        <v>9.5</v>
      </c>
      <c r="I45">
        <v>23.3</v>
      </c>
      <c r="J45" t="s">
        <v>46</v>
      </c>
      <c r="K45" t="s">
        <v>35</v>
      </c>
    </row>
    <row r="46" spans="1:11" x14ac:dyDescent="0.25">
      <c r="A46" t="s">
        <v>122</v>
      </c>
      <c r="B46" t="s">
        <v>32</v>
      </c>
      <c r="C46" t="s">
        <v>45</v>
      </c>
      <c r="D46" t="s">
        <v>76</v>
      </c>
      <c r="E46">
        <v>2019</v>
      </c>
      <c r="F46">
        <v>6</v>
      </c>
      <c r="G46" t="s">
        <v>15</v>
      </c>
      <c r="H46">
        <v>8.3000000000000007</v>
      </c>
      <c r="I46">
        <v>36.4</v>
      </c>
      <c r="J46" t="s">
        <v>59</v>
      </c>
      <c r="K46" t="s">
        <v>68</v>
      </c>
    </row>
    <row r="47" spans="1:11" x14ac:dyDescent="0.25">
      <c r="A47" t="s">
        <v>123</v>
      </c>
      <c r="B47" t="s">
        <v>124</v>
      </c>
      <c r="C47" t="s">
        <v>33</v>
      </c>
      <c r="D47" t="s">
        <v>76</v>
      </c>
      <c r="E47">
        <v>2021</v>
      </c>
      <c r="F47">
        <v>1</v>
      </c>
      <c r="G47" t="s">
        <v>15</v>
      </c>
      <c r="H47">
        <v>8.1999999999999993</v>
      </c>
      <c r="I47">
        <v>37.6</v>
      </c>
      <c r="J47" t="s">
        <v>41</v>
      </c>
      <c r="K47" t="s">
        <v>68</v>
      </c>
    </row>
    <row r="48" spans="1:11" x14ac:dyDescent="0.25">
      <c r="A48" t="s">
        <v>125</v>
      </c>
      <c r="B48" t="s">
        <v>93</v>
      </c>
      <c r="C48" t="s">
        <v>49</v>
      </c>
      <c r="D48" t="s">
        <v>14</v>
      </c>
      <c r="E48">
        <v>2017</v>
      </c>
      <c r="F48">
        <v>1</v>
      </c>
      <c r="G48" t="s">
        <v>15</v>
      </c>
      <c r="H48">
        <v>8.1999999999999993</v>
      </c>
      <c r="I48">
        <v>28.3</v>
      </c>
      <c r="J48" t="s">
        <v>59</v>
      </c>
      <c r="K48" t="s">
        <v>60</v>
      </c>
    </row>
    <row r="49" spans="1:11" x14ac:dyDescent="0.25">
      <c r="A49" t="s">
        <v>126</v>
      </c>
      <c r="B49" t="s">
        <v>127</v>
      </c>
      <c r="C49" t="s">
        <v>49</v>
      </c>
      <c r="D49" t="s">
        <v>76</v>
      </c>
      <c r="E49">
        <v>2025</v>
      </c>
      <c r="F49">
        <v>4</v>
      </c>
      <c r="G49" t="s">
        <v>28</v>
      </c>
      <c r="H49">
        <v>7</v>
      </c>
      <c r="I49">
        <v>45</v>
      </c>
      <c r="J49" t="s">
        <v>41</v>
      </c>
      <c r="K49" t="s">
        <v>42</v>
      </c>
    </row>
    <row r="50" spans="1:11" x14ac:dyDescent="0.25">
      <c r="A50" t="s">
        <v>128</v>
      </c>
      <c r="B50" t="s">
        <v>86</v>
      </c>
      <c r="C50" t="s">
        <v>45</v>
      </c>
      <c r="D50" t="s">
        <v>76</v>
      </c>
      <c r="E50">
        <v>2021</v>
      </c>
      <c r="F50">
        <v>7</v>
      </c>
      <c r="G50" t="s">
        <v>28</v>
      </c>
      <c r="H50">
        <v>9.3000000000000007</v>
      </c>
      <c r="I50">
        <v>16.8</v>
      </c>
      <c r="J50" t="s">
        <v>16</v>
      </c>
      <c r="K50" t="s">
        <v>68</v>
      </c>
    </row>
    <row r="51" spans="1:11" x14ac:dyDescent="0.25">
      <c r="A51" t="s">
        <v>129</v>
      </c>
      <c r="B51" t="s">
        <v>130</v>
      </c>
      <c r="C51" t="s">
        <v>13</v>
      </c>
      <c r="D51" t="s">
        <v>21</v>
      </c>
      <c r="E51">
        <v>2017</v>
      </c>
      <c r="F51">
        <v>7</v>
      </c>
      <c r="G51" t="s">
        <v>28</v>
      </c>
      <c r="H51">
        <v>8.8000000000000007</v>
      </c>
      <c r="I51">
        <v>9.6</v>
      </c>
      <c r="J51" t="s">
        <v>55</v>
      </c>
      <c r="K51" t="s">
        <v>35</v>
      </c>
    </row>
    <row r="52" spans="1:11" x14ac:dyDescent="0.25">
      <c r="A52" t="s">
        <v>131</v>
      </c>
      <c r="B52" t="s">
        <v>48</v>
      </c>
      <c r="C52" t="s">
        <v>49</v>
      </c>
      <c r="D52" t="s">
        <v>52</v>
      </c>
      <c r="E52">
        <v>2020</v>
      </c>
      <c r="F52">
        <v>8</v>
      </c>
      <c r="G52" t="s">
        <v>28</v>
      </c>
      <c r="H52">
        <v>6.6</v>
      </c>
      <c r="I52">
        <v>26.1</v>
      </c>
      <c r="J52" t="s">
        <v>82</v>
      </c>
      <c r="K52" t="s">
        <v>60</v>
      </c>
    </row>
    <row r="53" spans="1:11" x14ac:dyDescent="0.25">
      <c r="A53" t="s">
        <v>132</v>
      </c>
      <c r="B53" t="s">
        <v>133</v>
      </c>
      <c r="C53" t="s">
        <v>49</v>
      </c>
      <c r="D53" t="s">
        <v>99</v>
      </c>
      <c r="E53">
        <v>2017</v>
      </c>
      <c r="F53">
        <v>8</v>
      </c>
      <c r="G53" t="s">
        <v>15</v>
      </c>
      <c r="H53">
        <v>9.5</v>
      </c>
      <c r="I53">
        <v>59.3</v>
      </c>
      <c r="J53" t="s">
        <v>55</v>
      </c>
      <c r="K53" t="s">
        <v>60</v>
      </c>
    </row>
    <row r="54" spans="1:11" x14ac:dyDescent="0.25">
      <c r="A54" t="s">
        <v>134</v>
      </c>
      <c r="B54" t="s">
        <v>93</v>
      </c>
      <c r="C54" t="s">
        <v>33</v>
      </c>
      <c r="D54" t="s">
        <v>99</v>
      </c>
      <c r="E54">
        <v>2021</v>
      </c>
      <c r="F54">
        <v>7</v>
      </c>
      <c r="G54" t="s">
        <v>15</v>
      </c>
      <c r="H54">
        <v>9.1</v>
      </c>
      <c r="I54">
        <v>34.1</v>
      </c>
      <c r="J54" t="s">
        <v>22</v>
      </c>
      <c r="K54" t="s">
        <v>42</v>
      </c>
    </row>
    <row r="55" spans="1:11" x14ac:dyDescent="0.25">
      <c r="A55" t="s">
        <v>135</v>
      </c>
      <c r="B55" t="s">
        <v>44</v>
      </c>
      <c r="C55" t="s">
        <v>58</v>
      </c>
      <c r="D55" t="s">
        <v>76</v>
      </c>
      <c r="E55">
        <v>2025</v>
      </c>
      <c r="F55">
        <v>6</v>
      </c>
      <c r="G55" t="s">
        <v>28</v>
      </c>
      <c r="H55">
        <v>6.8</v>
      </c>
      <c r="I55">
        <v>55.4</v>
      </c>
      <c r="J55" t="s">
        <v>82</v>
      </c>
      <c r="K55" t="s">
        <v>42</v>
      </c>
    </row>
    <row r="56" spans="1:11" x14ac:dyDescent="0.25">
      <c r="A56" t="s">
        <v>136</v>
      </c>
      <c r="B56" t="s">
        <v>133</v>
      </c>
      <c r="C56" t="s">
        <v>58</v>
      </c>
      <c r="D56" t="s">
        <v>52</v>
      </c>
      <c r="E56">
        <v>2025</v>
      </c>
      <c r="F56">
        <v>4</v>
      </c>
      <c r="G56" t="s">
        <v>71</v>
      </c>
      <c r="H56">
        <v>8.8000000000000007</v>
      </c>
      <c r="I56">
        <v>23.3</v>
      </c>
      <c r="J56" t="s">
        <v>16</v>
      </c>
      <c r="K56" t="s">
        <v>42</v>
      </c>
    </row>
    <row r="57" spans="1:11" x14ac:dyDescent="0.25">
      <c r="A57" t="s">
        <v>137</v>
      </c>
      <c r="B57" t="s">
        <v>112</v>
      </c>
      <c r="C57" t="s">
        <v>74</v>
      </c>
      <c r="D57" t="s">
        <v>76</v>
      </c>
      <c r="E57">
        <v>2021</v>
      </c>
      <c r="F57">
        <v>4</v>
      </c>
      <c r="G57" t="s">
        <v>28</v>
      </c>
      <c r="H57">
        <v>7.9</v>
      </c>
      <c r="I57">
        <v>53.3</v>
      </c>
      <c r="J57" t="s">
        <v>22</v>
      </c>
      <c r="K57" t="s">
        <v>30</v>
      </c>
    </row>
    <row r="58" spans="1:11" x14ac:dyDescent="0.25">
      <c r="A58" t="s">
        <v>138</v>
      </c>
      <c r="B58" t="s">
        <v>96</v>
      </c>
      <c r="C58" t="s">
        <v>74</v>
      </c>
      <c r="D58" t="s">
        <v>52</v>
      </c>
      <c r="E58">
        <v>2019</v>
      </c>
      <c r="F58">
        <v>7</v>
      </c>
      <c r="G58" t="s">
        <v>28</v>
      </c>
      <c r="H58">
        <v>7.8</v>
      </c>
      <c r="I58">
        <v>25</v>
      </c>
      <c r="J58" t="s">
        <v>29</v>
      </c>
      <c r="K58" t="s">
        <v>30</v>
      </c>
    </row>
    <row r="59" spans="1:11" x14ac:dyDescent="0.25">
      <c r="A59" t="s">
        <v>139</v>
      </c>
      <c r="B59" t="s">
        <v>67</v>
      </c>
      <c r="C59" t="s">
        <v>58</v>
      </c>
      <c r="D59" t="s">
        <v>76</v>
      </c>
      <c r="E59">
        <v>2020</v>
      </c>
      <c r="F59">
        <v>6</v>
      </c>
      <c r="G59" t="s">
        <v>71</v>
      </c>
      <c r="H59">
        <v>9.6999999999999993</v>
      </c>
      <c r="I59">
        <v>13.4</v>
      </c>
      <c r="J59" t="s">
        <v>29</v>
      </c>
      <c r="K59" t="s">
        <v>60</v>
      </c>
    </row>
    <row r="60" spans="1:11" x14ac:dyDescent="0.25">
      <c r="A60" t="s">
        <v>140</v>
      </c>
      <c r="B60" t="s">
        <v>70</v>
      </c>
      <c r="C60" t="s">
        <v>49</v>
      </c>
      <c r="D60" t="s">
        <v>21</v>
      </c>
      <c r="E60">
        <v>2020</v>
      </c>
      <c r="F60">
        <v>4</v>
      </c>
      <c r="G60" t="s">
        <v>15</v>
      </c>
      <c r="H60">
        <v>8.3000000000000007</v>
      </c>
      <c r="I60">
        <v>28.3</v>
      </c>
      <c r="J60" t="s">
        <v>34</v>
      </c>
      <c r="K60" t="s">
        <v>17</v>
      </c>
    </row>
    <row r="61" spans="1:11" x14ac:dyDescent="0.25">
      <c r="A61" t="s">
        <v>141</v>
      </c>
      <c r="B61" t="s">
        <v>32</v>
      </c>
      <c r="C61" t="s">
        <v>13</v>
      </c>
      <c r="D61" t="s">
        <v>14</v>
      </c>
      <c r="E61">
        <v>2023</v>
      </c>
      <c r="F61">
        <v>3</v>
      </c>
      <c r="G61" t="s">
        <v>28</v>
      </c>
      <c r="H61">
        <v>6.8</v>
      </c>
      <c r="I61">
        <v>22.1</v>
      </c>
      <c r="J61" t="s">
        <v>65</v>
      </c>
      <c r="K61" t="s">
        <v>23</v>
      </c>
    </row>
    <row r="62" spans="1:11" x14ac:dyDescent="0.25">
      <c r="A62" t="s">
        <v>142</v>
      </c>
      <c r="B62" t="s">
        <v>54</v>
      </c>
      <c r="C62" t="s">
        <v>115</v>
      </c>
      <c r="D62" t="s">
        <v>21</v>
      </c>
      <c r="E62">
        <v>2016</v>
      </c>
      <c r="F62">
        <v>7</v>
      </c>
      <c r="G62" t="s">
        <v>15</v>
      </c>
      <c r="H62">
        <v>8.1</v>
      </c>
      <c r="I62">
        <v>46.2</v>
      </c>
      <c r="J62" t="s">
        <v>46</v>
      </c>
      <c r="K62" t="s">
        <v>42</v>
      </c>
    </row>
    <row r="63" spans="1:11" x14ac:dyDescent="0.25">
      <c r="A63" t="s">
        <v>143</v>
      </c>
      <c r="B63" t="s">
        <v>88</v>
      </c>
      <c r="C63" t="s">
        <v>26</v>
      </c>
      <c r="D63" t="s">
        <v>21</v>
      </c>
      <c r="E63">
        <v>2021</v>
      </c>
      <c r="F63">
        <v>4</v>
      </c>
      <c r="G63" t="s">
        <v>28</v>
      </c>
      <c r="H63">
        <v>8.6999999999999993</v>
      </c>
      <c r="I63">
        <v>16.100000000000001</v>
      </c>
      <c r="J63" t="s">
        <v>77</v>
      </c>
      <c r="K63" t="s">
        <v>60</v>
      </c>
    </row>
    <row r="64" spans="1:11" x14ac:dyDescent="0.25">
      <c r="A64" t="s">
        <v>144</v>
      </c>
      <c r="B64" t="s">
        <v>32</v>
      </c>
      <c r="C64" t="s">
        <v>20</v>
      </c>
      <c r="D64" t="s">
        <v>76</v>
      </c>
      <c r="E64">
        <v>2018</v>
      </c>
      <c r="F64">
        <v>5</v>
      </c>
      <c r="G64" t="s">
        <v>71</v>
      </c>
      <c r="H64">
        <v>7.8</v>
      </c>
      <c r="I64">
        <v>51.1</v>
      </c>
      <c r="J64" t="s">
        <v>16</v>
      </c>
      <c r="K64" t="s">
        <v>35</v>
      </c>
    </row>
    <row r="65" spans="1:11" x14ac:dyDescent="0.25">
      <c r="A65" t="s">
        <v>145</v>
      </c>
      <c r="B65" t="s">
        <v>64</v>
      </c>
      <c r="C65" t="s">
        <v>20</v>
      </c>
      <c r="D65" t="s">
        <v>99</v>
      </c>
      <c r="E65">
        <v>2015</v>
      </c>
      <c r="F65">
        <v>6</v>
      </c>
      <c r="G65" t="s">
        <v>28</v>
      </c>
      <c r="H65">
        <v>9.6</v>
      </c>
      <c r="I65">
        <v>34.299999999999997</v>
      </c>
      <c r="J65" t="s">
        <v>29</v>
      </c>
      <c r="K65" t="s">
        <v>35</v>
      </c>
    </row>
    <row r="66" spans="1:11" x14ac:dyDescent="0.25">
      <c r="A66" t="s">
        <v>146</v>
      </c>
      <c r="B66" t="s">
        <v>147</v>
      </c>
      <c r="C66" t="s">
        <v>45</v>
      </c>
      <c r="D66" t="s">
        <v>76</v>
      </c>
      <c r="E66">
        <v>2021</v>
      </c>
      <c r="F66">
        <v>3</v>
      </c>
      <c r="G66" t="s">
        <v>28</v>
      </c>
      <c r="H66">
        <v>9.5</v>
      </c>
      <c r="I66">
        <v>35.5</v>
      </c>
      <c r="J66" t="s">
        <v>34</v>
      </c>
      <c r="K66" t="s">
        <v>17</v>
      </c>
    </row>
    <row r="67" spans="1:11" x14ac:dyDescent="0.25">
      <c r="A67" t="s">
        <v>148</v>
      </c>
      <c r="B67" t="s">
        <v>149</v>
      </c>
      <c r="C67" t="s">
        <v>26</v>
      </c>
      <c r="D67" t="s">
        <v>76</v>
      </c>
      <c r="E67">
        <v>2024</v>
      </c>
      <c r="F67">
        <v>6</v>
      </c>
      <c r="G67" t="s">
        <v>71</v>
      </c>
      <c r="H67">
        <v>7.2</v>
      </c>
      <c r="I67">
        <v>11.8</v>
      </c>
      <c r="J67" t="s">
        <v>41</v>
      </c>
      <c r="K67" t="s">
        <v>35</v>
      </c>
    </row>
    <row r="68" spans="1:11" x14ac:dyDescent="0.25">
      <c r="A68" t="s">
        <v>150</v>
      </c>
      <c r="B68" t="s">
        <v>104</v>
      </c>
      <c r="C68" t="s">
        <v>45</v>
      </c>
      <c r="D68" t="s">
        <v>52</v>
      </c>
      <c r="E68">
        <v>2020</v>
      </c>
      <c r="F68">
        <v>5</v>
      </c>
      <c r="G68" t="s">
        <v>28</v>
      </c>
      <c r="H68">
        <v>9.8000000000000007</v>
      </c>
      <c r="I68">
        <v>56.8</v>
      </c>
      <c r="J68" t="s">
        <v>22</v>
      </c>
      <c r="K68" t="s">
        <v>30</v>
      </c>
    </row>
    <row r="69" spans="1:11" x14ac:dyDescent="0.25">
      <c r="A69" t="s">
        <v>151</v>
      </c>
      <c r="B69" t="s">
        <v>48</v>
      </c>
      <c r="C69" t="s">
        <v>40</v>
      </c>
      <c r="D69" t="s">
        <v>52</v>
      </c>
      <c r="E69">
        <v>2020</v>
      </c>
      <c r="F69">
        <v>1</v>
      </c>
      <c r="G69" t="s">
        <v>28</v>
      </c>
      <c r="H69">
        <v>6.8</v>
      </c>
      <c r="I69">
        <v>19.100000000000001</v>
      </c>
      <c r="J69" t="s">
        <v>34</v>
      </c>
      <c r="K69" t="s">
        <v>42</v>
      </c>
    </row>
    <row r="70" spans="1:11" x14ac:dyDescent="0.25">
      <c r="A70" t="s">
        <v>152</v>
      </c>
      <c r="B70" t="s">
        <v>93</v>
      </c>
      <c r="C70" t="s">
        <v>20</v>
      </c>
      <c r="D70" t="s">
        <v>21</v>
      </c>
      <c r="E70">
        <v>2024</v>
      </c>
      <c r="F70">
        <v>7</v>
      </c>
      <c r="G70" t="s">
        <v>71</v>
      </c>
      <c r="H70">
        <v>9.1999999999999993</v>
      </c>
      <c r="I70">
        <v>50.4</v>
      </c>
      <c r="J70" t="s">
        <v>55</v>
      </c>
      <c r="K70" t="s">
        <v>30</v>
      </c>
    </row>
    <row r="71" spans="1:11" x14ac:dyDescent="0.25">
      <c r="A71" t="s">
        <v>153</v>
      </c>
      <c r="B71" t="s">
        <v>32</v>
      </c>
      <c r="C71" t="s">
        <v>33</v>
      </c>
      <c r="D71" t="s">
        <v>14</v>
      </c>
      <c r="E71">
        <v>2016</v>
      </c>
      <c r="F71">
        <v>5</v>
      </c>
      <c r="G71" t="s">
        <v>71</v>
      </c>
      <c r="H71">
        <v>9.6999999999999993</v>
      </c>
      <c r="I71">
        <v>23.8</v>
      </c>
      <c r="J71" t="s">
        <v>46</v>
      </c>
      <c r="K71" t="s">
        <v>68</v>
      </c>
    </row>
    <row r="72" spans="1:11" x14ac:dyDescent="0.25">
      <c r="A72" t="s">
        <v>154</v>
      </c>
      <c r="B72" t="s">
        <v>67</v>
      </c>
      <c r="C72" t="s">
        <v>115</v>
      </c>
      <c r="D72" t="s">
        <v>21</v>
      </c>
      <c r="E72">
        <v>2016</v>
      </c>
      <c r="F72">
        <v>2</v>
      </c>
      <c r="G72" t="s">
        <v>15</v>
      </c>
      <c r="H72">
        <v>8.6</v>
      </c>
      <c r="I72">
        <v>49.4</v>
      </c>
      <c r="J72" t="s">
        <v>77</v>
      </c>
      <c r="K72" t="s">
        <v>60</v>
      </c>
    </row>
    <row r="73" spans="1:11" x14ac:dyDescent="0.25">
      <c r="A73" t="s">
        <v>155</v>
      </c>
      <c r="B73" t="s">
        <v>149</v>
      </c>
      <c r="C73" t="s">
        <v>26</v>
      </c>
      <c r="D73" t="s">
        <v>21</v>
      </c>
      <c r="E73">
        <v>2017</v>
      </c>
      <c r="F73">
        <v>7</v>
      </c>
      <c r="G73" t="s">
        <v>28</v>
      </c>
      <c r="H73">
        <v>6.6</v>
      </c>
      <c r="I73">
        <v>15.9</v>
      </c>
      <c r="J73" t="s">
        <v>82</v>
      </c>
      <c r="K73" t="s">
        <v>17</v>
      </c>
    </row>
    <row r="74" spans="1:11" x14ac:dyDescent="0.25">
      <c r="A74" t="s">
        <v>156</v>
      </c>
      <c r="B74" t="s">
        <v>157</v>
      </c>
      <c r="C74" t="s">
        <v>40</v>
      </c>
      <c r="D74" t="s">
        <v>99</v>
      </c>
      <c r="E74">
        <v>2017</v>
      </c>
      <c r="F74">
        <v>6</v>
      </c>
      <c r="G74" t="s">
        <v>71</v>
      </c>
      <c r="H74">
        <v>9.4</v>
      </c>
      <c r="I74">
        <v>57.9</v>
      </c>
      <c r="J74" t="s">
        <v>55</v>
      </c>
      <c r="K74" t="s">
        <v>30</v>
      </c>
    </row>
    <row r="75" spans="1:11" x14ac:dyDescent="0.25">
      <c r="A75" t="s">
        <v>158</v>
      </c>
      <c r="B75" t="s">
        <v>37</v>
      </c>
      <c r="C75" t="s">
        <v>45</v>
      </c>
      <c r="D75" t="s">
        <v>76</v>
      </c>
      <c r="E75">
        <v>2022</v>
      </c>
      <c r="F75">
        <v>7</v>
      </c>
      <c r="G75" t="s">
        <v>28</v>
      </c>
      <c r="H75">
        <v>8.8000000000000007</v>
      </c>
      <c r="I75">
        <v>24</v>
      </c>
      <c r="J75" t="s">
        <v>46</v>
      </c>
      <c r="K75" t="s">
        <v>30</v>
      </c>
    </row>
    <row r="76" spans="1:11" x14ac:dyDescent="0.25">
      <c r="A76" t="s">
        <v>159</v>
      </c>
      <c r="B76" t="s">
        <v>91</v>
      </c>
      <c r="C76" t="s">
        <v>33</v>
      </c>
      <c r="D76" t="s">
        <v>27</v>
      </c>
      <c r="E76">
        <v>2017</v>
      </c>
      <c r="F76">
        <v>2</v>
      </c>
      <c r="G76" t="s">
        <v>28</v>
      </c>
      <c r="H76">
        <v>7.4</v>
      </c>
      <c r="I76">
        <v>50.4</v>
      </c>
      <c r="J76" t="s">
        <v>65</v>
      </c>
      <c r="K76" t="s">
        <v>17</v>
      </c>
    </row>
    <row r="77" spans="1:11" x14ac:dyDescent="0.25">
      <c r="A77" t="s">
        <v>160</v>
      </c>
      <c r="B77" t="s">
        <v>161</v>
      </c>
      <c r="C77" t="s">
        <v>13</v>
      </c>
      <c r="D77" t="s">
        <v>52</v>
      </c>
      <c r="E77">
        <v>2023</v>
      </c>
      <c r="F77">
        <v>2</v>
      </c>
      <c r="G77" t="s">
        <v>28</v>
      </c>
      <c r="H77">
        <v>8.3000000000000007</v>
      </c>
      <c r="I77">
        <v>9.1999999999999993</v>
      </c>
      <c r="J77" t="s">
        <v>46</v>
      </c>
      <c r="K77" t="s">
        <v>68</v>
      </c>
    </row>
    <row r="78" spans="1:11" x14ac:dyDescent="0.25">
      <c r="A78" t="s">
        <v>162</v>
      </c>
      <c r="B78" t="s">
        <v>48</v>
      </c>
      <c r="C78" t="s">
        <v>40</v>
      </c>
      <c r="D78" t="s">
        <v>99</v>
      </c>
      <c r="E78">
        <v>2017</v>
      </c>
      <c r="F78">
        <v>3</v>
      </c>
      <c r="G78" t="s">
        <v>28</v>
      </c>
      <c r="H78">
        <v>9.1</v>
      </c>
      <c r="I78">
        <v>9.4</v>
      </c>
      <c r="J78" t="s">
        <v>82</v>
      </c>
      <c r="K78" t="s">
        <v>35</v>
      </c>
    </row>
    <row r="79" spans="1:11" x14ac:dyDescent="0.25">
      <c r="A79" t="s">
        <v>163</v>
      </c>
      <c r="B79" t="s">
        <v>12</v>
      </c>
      <c r="C79" t="s">
        <v>26</v>
      </c>
      <c r="D79" t="s">
        <v>99</v>
      </c>
      <c r="E79">
        <v>2024</v>
      </c>
      <c r="F79">
        <v>6</v>
      </c>
      <c r="G79" t="s">
        <v>28</v>
      </c>
      <c r="H79">
        <v>8.8000000000000007</v>
      </c>
      <c r="I79">
        <v>59.2</v>
      </c>
      <c r="J79" t="s">
        <v>22</v>
      </c>
      <c r="K79" t="s">
        <v>60</v>
      </c>
    </row>
    <row r="80" spans="1:11" x14ac:dyDescent="0.25">
      <c r="A80" t="s">
        <v>164</v>
      </c>
      <c r="B80" t="s">
        <v>62</v>
      </c>
      <c r="C80" t="s">
        <v>74</v>
      </c>
      <c r="D80" t="s">
        <v>76</v>
      </c>
      <c r="E80">
        <v>2024</v>
      </c>
      <c r="F80">
        <v>2</v>
      </c>
      <c r="G80" t="s">
        <v>28</v>
      </c>
      <c r="H80">
        <v>8.6</v>
      </c>
      <c r="I80">
        <v>37.299999999999997</v>
      </c>
      <c r="J80" t="s">
        <v>65</v>
      </c>
      <c r="K80" t="s">
        <v>17</v>
      </c>
    </row>
    <row r="81" spans="1:11" x14ac:dyDescent="0.25">
      <c r="A81" t="s">
        <v>165</v>
      </c>
      <c r="B81" t="s">
        <v>32</v>
      </c>
      <c r="C81" t="s">
        <v>33</v>
      </c>
      <c r="D81" t="s">
        <v>27</v>
      </c>
      <c r="E81">
        <v>2016</v>
      </c>
      <c r="F81">
        <v>1</v>
      </c>
      <c r="G81" t="s">
        <v>28</v>
      </c>
      <c r="H81">
        <v>9</v>
      </c>
      <c r="I81">
        <v>40.6</v>
      </c>
      <c r="J81" t="s">
        <v>65</v>
      </c>
      <c r="K81" t="s">
        <v>35</v>
      </c>
    </row>
    <row r="82" spans="1:11" x14ac:dyDescent="0.25">
      <c r="A82" t="s">
        <v>166</v>
      </c>
      <c r="B82" t="s">
        <v>161</v>
      </c>
      <c r="C82" t="s">
        <v>26</v>
      </c>
      <c r="D82" t="s">
        <v>99</v>
      </c>
      <c r="E82">
        <v>2016</v>
      </c>
      <c r="F82">
        <v>5</v>
      </c>
      <c r="G82" t="s">
        <v>15</v>
      </c>
      <c r="H82">
        <v>9.6999999999999993</v>
      </c>
      <c r="I82">
        <v>20.100000000000001</v>
      </c>
      <c r="J82" t="s">
        <v>34</v>
      </c>
      <c r="K82" t="s">
        <v>68</v>
      </c>
    </row>
    <row r="83" spans="1:11" x14ac:dyDescent="0.25">
      <c r="A83" t="s">
        <v>167</v>
      </c>
      <c r="B83" t="s">
        <v>133</v>
      </c>
      <c r="C83" t="s">
        <v>40</v>
      </c>
      <c r="D83" t="s">
        <v>52</v>
      </c>
      <c r="E83">
        <v>2020</v>
      </c>
      <c r="F83">
        <v>1</v>
      </c>
      <c r="G83" t="s">
        <v>28</v>
      </c>
      <c r="H83">
        <v>9.3000000000000007</v>
      </c>
      <c r="I83">
        <v>58.3</v>
      </c>
      <c r="J83" t="s">
        <v>55</v>
      </c>
      <c r="K83" t="s">
        <v>68</v>
      </c>
    </row>
    <row r="84" spans="1:11" x14ac:dyDescent="0.25">
      <c r="A84" t="s">
        <v>168</v>
      </c>
      <c r="B84" t="s">
        <v>12</v>
      </c>
      <c r="C84" t="s">
        <v>26</v>
      </c>
      <c r="D84" t="s">
        <v>27</v>
      </c>
      <c r="E84">
        <v>2020</v>
      </c>
      <c r="F84">
        <v>1</v>
      </c>
      <c r="G84" t="s">
        <v>15</v>
      </c>
      <c r="H84">
        <v>7.9</v>
      </c>
      <c r="I84">
        <v>57.7</v>
      </c>
      <c r="J84" t="s">
        <v>46</v>
      </c>
      <c r="K84" t="s">
        <v>60</v>
      </c>
    </row>
    <row r="85" spans="1:11" x14ac:dyDescent="0.25">
      <c r="A85" t="s">
        <v>169</v>
      </c>
      <c r="B85" t="s">
        <v>62</v>
      </c>
      <c r="C85" t="s">
        <v>40</v>
      </c>
      <c r="D85" t="s">
        <v>52</v>
      </c>
      <c r="E85">
        <v>2015</v>
      </c>
      <c r="F85">
        <v>8</v>
      </c>
      <c r="G85" t="s">
        <v>15</v>
      </c>
      <c r="H85">
        <v>6.8</v>
      </c>
      <c r="I85">
        <v>39.9</v>
      </c>
      <c r="J85" t="s">
        <v>77</v>
      </c>
      <c r="K85" t="s">
        <v>42</v>
      </c>
    </row>
    <row r="86" spans="1:11" x14ac:dyDescent="0.25">
      <c r="A86" t="s">
        <v>170</v>
      </c>
      <c r="B86" t="s">
        <v>171</v>
      </c>
      <c r="C86" t="s">
        <v>40</v>
      </c>
      <c r="D86" t="s">
        <v>27</v>
      </c>
      <c r="E86">
        <v>2022</v>
      </c>
      <c r="F86">
        <v>6</v>
      </c>
      <c r="G86" t="s">
        <v>28</v>
      </c>
      <c r="H86">
        <v>8.1999999999999993</v>
      </c>
      <c r="I86">
        <v>16.3</v>
      </c>
      <c r="J86" t="s">
        <v>59</v>
      </c>
      <c r="K86" t="s">
        <v>30</v>
      </c>
    </row>
    <row r="87" spans="1:11" x14ac:dyDescent="0.25">
      <c r="A87" t="s">
        <v>172</v>
      </c>
      <c r="B87" t="s">
        <v>93</v>
      </c>
      <c r="C87" t="s">
        <v>33</v>
      </c>
      <c r="D87" t="s">
        <v>76</v>
      </c>
      <c r="E87">
        <v>2017</v>
      </c>
      <c r="F87">
        <v>8</v>
      </c>
      <c r="G87" t="s">
        <v>71</v>
      </c>
      <c r="H87">
        <v>8.6</v>
      </c>
      <c r="I87">
        <v>23.2</v>
      </c>
      <c r="J87" t="s">
        <v>77</v>
      </c>
      <c r="K87" t="s">
        <v>68</v>
      </c>
    </row>
    <row r="88" spans="1:11" x14ac:dyDescent="0.25">
      <c r="A88" t="s">
        <v>173</v>
      </c>
      <c r="B88" t="s">
        <v>64</v>
      </c>
      <c r="C88" t="s">
        <v>20</v>
      </c>
      <c r="D88" t="s">
        <v>14</v>
      </c>
      <c r="E88">
        <v>2023</v>
      </c>
      <c r="F88">
        <v>5</v>
      </c>
      <c r="G88" t="s">
        <v>28</v>
      </c>
      <c r="H88">
        <v>6.8</v>
      </c>
      <c r="I88">
        <v>48.7</v>
      </c>
      <c r="J88" t="s">
        <v>22</v>
      </c>
      <c r="K88" t="s">
        <v>68</v>
      </c>
    </row>
    <row r="89" spans="1:11" x14ac:dyDescent="0.25">
      <c r="A89" t="s">
        <v>174</v>
      </c>
      <c r="B89" t="s">
        <v>48</v>
      </c>
      <c r="C89" t="s">
        <v>20</v>
      </c>
      <c r="D89" t="s">
        <v>99</v>
      </c>
      <c r="E89">
        <v>2015</v>
      </c>
      <c r="F89">
        <v>4</v>
      </c>
      <c r="G89" t="s">
        <v>28</v>
      </c>
      <c r="H89">
        <v>6.8</v>
      </c>
      <c r="I89">
        <v>59.4</v>
      </c>
      <c r="J89" t="s">
        <v>77</v>
      </c>
      <c r="K89" t="s">
        <v>35</v>
      </c>
    </row>
    <row r="90" spans="1:11" x14ac:dyDescent="0.25">
      <c r="A90" t="s">
        <v>175</v>
      </c>
      <c r="B90" t="s">
        <v>39</v>
      </c>
      <c r="C90" t="s">
        <v>13</v>
      </c>
      <c r="D90" t="s">
        <v>76</v>
      </c>
      <c r="E90">
        <v>2019</v>
      </c>
      <c r="F90">
        <v>2</v>
      </c>
      <c r="G90" t="s">
        <v>28</v>
      </c>
      <c r="H90">
        <v>8</v>
      </c>
      <c r="I90">
        <v>52.2</v>
      </c>
      <c r="J90" t="s">
        <v>46</v>
      </c>
      <c r="K90" t="s">
        <v>23</v>
      </c>
    </row>
    <row r="91" spans="1:11" x14ac:dyDescent="0.25">
      <c r="A91" t="s">
        <v>176</v>
      </c>
      <c r="B91" t="s">
        <v>98</v>
      </c>
      <c r="C91" t="s">
        <v>115</v>
      </c>
      <c r="D91" t="s">
        <v>27</v>
      </c>
      <c r="E91">
        <v>2021</v>
      </c>
      <c r="F91">
        <v>3</v>
      </c>
      <c r="G91" t="s">
        <v>71</v>
      </c>
      <c r="H91">
        <v>6.6</v>
      </c>
      <c r="I91">
        <v>12.9</v>
      </c>
      <c r="J91" t="s">
        <v>65</v>
      </c>
      <c r="K91" t="s">
        <v>35</v>
      </c>
    </row>
    <row r="92" spans="1:11" x14ac:dyDescent="0.25">
      <c r="A92" t="s">
        <v>177</v>
      </c>
      <c r="B92" t="s">
        <v>70</v>
      </c>
      <c r="C92" t="s">
        <v>74</v>
      </c>
      <c r="D92" t="s">
        <v>99</v>
      </c>
      <c r="E92">
        <v>2023</v>
      </c>
      <c r="F92">
        <v>1</v>
      </c>
      <c r="G92" t="s">
        <v>28</v>
      </c>
      <c r="H92">
        <v>9.6</v>
      </c>
      <c r="I92">
        <v>15.9</v>
      </c>
      <c r="J92" t="s">
        <v>55</v>
      </c>
      <c r="K92" t="s">
        <v>60</v>
      </c>
    </row>
    <row r="93" spans="1:11" x14ac:dyDescent="0.25">
      <c r="A93" t="s">
        <v>178</v>
      </c>
      <c r="B93" t="s">
        <v>114</v>
      </c>
      <c r="C93" t="s">
        <v>13</v>
      </c>
      <c r="D93" t="s">
        <v>21</v>
      </c>
      <c r="E93">
        <v>2023</v>
      </c>
      <c r="F93">
        <v>3</v>
      </c>
      <c r="G93" t="s">
        <v>15</v>
      </c>
      <c r="H93">
        <v>8.6999999999999993</v>
      </c>
      <c r="I93">
        <v>18.100000000000001</v>
      </c>
      <c r="J93" t="s">
        <v>82</v>
      </c>
      <c r="K93" t="s">
        <v>42</v>
      </c>
    </row>
    <row r="94" spans="1:11" x14ac:dyDescent="0.25">
      <c r="A94" t="s">
        <v>179</v>
      </c>
      <c r="B94" t="s">
        <v>54</v>
      </c>
      <c r="C94" t="s">
        <v>20</v>
      </c>
      <c r="D94" t="s">
        <v>76</v>
      </c>
      <c r="E94">
        <v>2017</v>
      </c>
      <c r="F94">
        <v>6</v>
      </c>
      <c r="G94" t="s">
        <v>28</v>
      </c>
      <c r="H94">
        <v>7.2</v>
      </c>
      <c r="I94">
        <v>23.7</v>
      </c>
      <c r="J94" t="s">
        <v>82</v>
      </c>
      <c r="K94" t="s">
        <v>30</v>
      </c>
    </row>
    <row r="95" spans="1:11" x14ac:dyDescent="0.25">
      <c r="A95" t="s">
        <v>180</v>
      </c>
      <c r="B95" t="s">
        <v>181</v>
      </c>
      <c r="C95" t="s">
        <v>58</v>
      </c>
      <c r="D95" t="s">
        <v>21</v>
      </c>
      <c r="E95">
        <v>2016</v>
      </c>
      <c r="F95">
        <v>1</v>
      </c>
      <c r="G95" t="s">
        <v>15</v>
      </c>
      <c r="H95">
        <v>7.6</v>
      </c>
      <c r="I95">
        <v>29.3</v>
      </c>
      <c r="J95" t="s">
        <v>41</v>
      </c>
      <c r="K95" t="s">
        <v>68</v>
      </c>
    </row>
    <row r="96" spans="1:11" x14ac:dyDescent="0.25">
      <c r="A96" t="s">
        <v>182</v>
      </c>
      <c r="B96" t="s">
        <v>114</v>
      </c>
      <c r="C96" t="s">
        <v>115</v>
      </c>
      <c r="D96" t="s">
        <v>99</v>
      </c>
      <c r="E96">
        <v>2024</v>
      </c>
      <c r="F96">
        <v>3</v>
      </c>
      <c r="G96" t="s">
        <v>28</v>
      </c>
      <c r="H96">
        <v>9</v>
      </c>
      <c r="I96">
        <v>34.4</v>
      </c>
      <c r="J96" t="s">
        <v>77</v>
      </c>
      <c r="K96" t="s">
        <v>35</v>
      </c>
    </row>
    <row r="97" spans="1:11" x14ac:dyDescent="0.25">
      <c r="A97" t="s">
        <v>183</v>
      </c>
      <c r="B97" t="s">
        <v>93</v>
      </c>
      <c r="C97" t="s">
        <v>115</v>
      </c>
      <c r="D97" t="s">
        <v>52</v>
      </c>
      <c r="E97">
        <v>2023</v>
      </c>
      <c r="F97">
        <v>8</v>
      </c>
      <c r="G97" t="s">
        <v>15</v>
      </c>
      <c r="H97">
        <v>8.3000000000000007</v>
      </c>
      <c r="I97">
        <v>43.3</v>
      </c>
      <c r="J97" t="s">
        <v>34</v>
      </c>
      <c r="K97" t="s">
        <v>23</v>
      </c>
    </row>
    <row r="98" spans="1:11" x14ac:dyDescent="0.25">
      <c r="A98" t="s">
        <v>184</v>
      </c>
      <c r="B98" t="s">
        <v>91</v>
      </c>
      <c r="C98" t="s">
        <v>49</v>
      </c>
      <c r="D98" t="s">
        <v>14</v>
      </c>
      <c r="E98">
        <v>2022</v>
      </c>
      <c r="F98">
        <v>4</v>
      </c>
      <c r="G98" t="s">
        <v>28</v>
      </c>
      <c r="H98">
        <v>8.3000000000000007</v>
      </c>
      <c r="I98">
        <v>43.7</v>
      </c>
      <c r="J98" t="s">
        <v>65</v>
      </c>
      <c r="K98" t="s">
        <v>30</v>
      </c>
    </row>
    <row r="99" spans="1:11" x14ac:dyDescent="0.25">
      <c r="A99" t="s">
        <v>185</v>
      </c>
      <c r="B99" t="s">
        <v>157</v>
      </c>
      <c r="C99" t="s">
        <v>40</v>
      </c>
      <c r="D99" t="s">
        <v>99</v>
      </c>
      <c r="E99">
        <v>2018</v>
      </c>
      <c r="F99">
        <v>7</v>
      </c>
      <c r="G99" t="s">
        <v>15</v>
      </c>
      <c r="H99">
        <v>8.9</v>
      </c>
      <c r="I99">
        <v>13.9</v>
      </c>
      <c r="J99" t="s">
        <v>16</v>
      </c>
      <c r="K99" t="s">
        <v>68</v>
      </c>
    </row>
    <row r="100" spans="1:11" x14ac:dyDescent="0.25">
      <c r="A100" t="s">
        <v>186</v>
      </c>
      <c r="B100" t="s">
        <v>133</v>
      </c>
      <c r="C100" t="s">
        <v>74</v>
      </c>
      <c r="D100" t="s">
        <v>99</v>
      </c>
      <c r="E100">
        <v>2017</v>
      </c>
      <c r="F100">
        <v>7</v>
      </c>
      <c r="G100" t="s">
        <v>15</v>
      </c>
      <c r="H100">
        <v>7.2</v>
      </c>
      <c r="I100">
        <v>29.4</v>
      </c>
      <c r="J100" t="s">
        <v>72</v>
      </c>
      <c r="K100" t="s">
        <v>23</v>
      </c>
    </row>
    <row r="101" spans="1:11" x14ac:dyDescent="0.25">
      <c r="A101" t="s">
        <v>187</v>
      </c>
      <c r="B101" t="s">
        <v>96</v>
      </c>
      <c r="C101" t="s">
        <v>20</v>
      </c>
      <c r="D101" t="s">
        <v>14</v>
      </c>
      <c r="E101">
        <v>2016</v>
      </c>
      <c r="F101">
        <v>8</v>
      </c>
      <c r="G101" t="s">
        <v>28</v>
      </c>
      <c r="H101">
        <v>7.1</v>
      </c>
      <c r="I101">
        <v>11.4</v>
      </c>
      <c r="J101" t="s">
        <v>41</v>
      </c>
      <c r="K101" t="s">
        <v>68</v>
      </c>
    </row>
    <row r="102" spans="1:11" x14ac:dyDescent="0.25">
      <c r="A102" t="s">
        <v>188</v>
      </c>
      <c r="B102" t="s">
        <v>171</v>
      </c>
      <c r="C102" t="s">
        <v>40</v>
      </c>
      <c r="D102" t="s">
        <v>99</v>
      </c>
      <c r="E102">
        <v>2016</v>
      </c>
      <c r="F102">
        <v>8</v>
      </c>
      <c r="G102" t="s">
        <v>28</v>
      </c>
      <c r="H102">
        <v>9.1999999999999993</v>
      </c>
      <c r="I102">
        <v>36.9</v>
      </c>
      <c r="J102" t="s">
        <v>34</v>
      </c>
      <c r="K102" t="s">
        <v>23</v>
      </c>
    </row>
    <row r="103" spans="1:11" x14ac:dyDescent="0.25">
      <c r="A103" t="s">
        <v>189</v>
      </c>
      <c r="B103" t="s">
        <v>108</v>
      </c>
      <c r="C103" t="s">
        <v>26</v>
      </c>
      <c r="D103" t="s">
        <v>99</v>
      </c>
      <c r="E103">
        <v>2024</v>
      </c>
      <c r="F103">
        <v>6</v>
      </c>
      <c r="G103" t="s">
        <v>28</v>
      </c>
      <c r="H103">
        <v>8.8000000000000007</v>
      </c>
      <c r="I103">
        <v>51.4</v>
      </c>
      <c r="J103" t="s">
        <v>65</v>
      </c>
      <c r="K103" t="s">
        <v>30</v>
      </c>
    </row>
    <row r="104" spans="1:11" x14ac:dyDescent="0.25">
      <c r="A104" t="s">
        <v>190</v>
      </c>
      <c r="B104" t="s">
        <v>106</v>
      </c>
      <c r="C104" t="s">
        <v>33</v>
      </c>
      <c r="D104" t="s">
        <v>14</v>
      </c>
      <c r="E104">
        <v>2024</v>
      </c>
      <c r="F104">
        <v>4</v>
      </c>
      <c r="G104" t="s">
        <v>28</v>
      </c>
      <c r="H104">
        <v>7.8</v>
      </c>
      <c r="I104">
        <v>55.9</v>
      </c>
      <c r="J104" t="s">
        <v>22</v>
      </c>
      <c r="K104" t="s">
        <v>23</v>
      </c>
    </row>
    <row r="105" spans="1:11" x14ac:dyDescent="0.25">
      <c r="A105" t="s">
        <v>191</v>
      </c>
      <c r="B105" t="s">
        <v>54</v>
      </c>
      <c r="C105" t="s">
        <v>45</v>
      </c>
      <c r="D105" t="s">
        <v>52</v>
      </c>
      <c r="E105">
        <v>2017</v>
      </c>
      <c r="F105">
        <v>2</v>
      </c>
      <c r="G105" t="s">
        <v>28</v>
      </c>
      <c r="H105">
        <v>8.8000000000000007</v>
      </c>
      <c r="I105">
        <v>35.799999999999997</v>
      </c>
      <c r="J105" t="s">
        <v>41</v>
      </c>
      <c r="K105" t="s">
        <v>30</v>
      </c>
    </row>
    <row r="106" spans="1:11" x14ac:dyDescent="0.25">
      <c r="A106" t="s">
        <v>192</v>
      </c>
      <c r="B106" t="s">
        <v>37</v>
      </c>
      <c r="C106" t="s">
        <v>74</v>
      </c>
      <c r="D106" t="s">
        <v>99</v>
      </c>
      <c r="E106">
        <v>2017</v>
      </c>
      <c r="F106">
        <v>2</v>
      </c>
      <c r="G106" t="s">
        <v>15</v>
      </c>
      <c r="H106">
        <v>7.1</v>
      </c>
      <c r="I106">
        <v>17.899999999999999</v>
      </c>
      <c r="J106" t="s">
        <v>41</v>
      </c>
      <c r="K106" t="s">
        <v>42</v>
      </c>
    </row>
    <row r="107" spans="1:11" x14ac:dyDescent="0.25">
      <c r="A107" t="s">
        <v>193</v>
      </c>
      <c r="B107" t="s">
        <v>161</v>
      </c>
      <c r="C107" t="s">
        <v>115</v>
      </c>
      <c r="D107" t="s">
        <v>76</v>
      </c>
      <c r="E107">
        <v>2020</v>
      </c>
      <c r="F107">
        <v>8</v>
      </c>
      <c r="G107" t="s">
        <v>28</v>
      </c>
      <c r="H107">
        <v>7.7</v>
      </c>
      <c r="I107">
        <v>59.5</v>
      </c>
      <c r="J107" t="s">
        <v>16</v>
      </c>
      <c r="K107" t="s">
        <v>42</v>
      </c>
    </row>
    <row r="108" spans="1:11" x14ac:dyDescent="0.25">
      <c r="A108" t="s">
        <v>194</v>
      </c>
      <c r="B108" t="s">
        <v>19</v>
      </c>
      <c r="C108" t="s">
        <v>33</v>
      </c>
      <c r="D108" t="s">
        <v>76</v>
      </c>
      <c r="E108">
        <v>2016</v>
      </c>
      <c r="F108">
        <v>3</v>
      </c>
      <c r="G108" t="s">
        <v>28</v>
      </c>
      <c r="H108">
        <v>8.1999999999999993</v>
      </c>
      <c r="I108">
        <v>14.3</v>
      </c>
      <c r="J108" t="s">
        <v>65</v>
      </c>
      <c r="K108" t="s">
        <v>60</v>
      </c>
    </row>
    <row r="109" spans="1:11" x14ac:dyDescent="0.25">
      <c r="A109" t="s">
        <v>195</v>
      </c>
      <c r="B109" t="s">
        <v>12</v>
      </c>
      <c r="C109" t="s">
        <v>13</v>
      </c>
      <c r="D109" t="s">
        <v>76</v>
      </c>
      <c r="E109">
        <v>2018</v>
      </c>
      <c r="F109">
        <v>8</v>
      </c>
      <c r="G109" t="s">
        <v>28</v>
      </c>
      <c r="H109">
        <v>6.9</v>
      </c>
      <c r="I109">
        <v>36.4</v>
      </c>
      <c r="J109" t="s">
        <v>82</v>
      </c>
      <c r="K109" t="s">
        <v>17</v>
      </c>
    </row>
    <row r="110" spans="1:11" x14ac:dyDescent="0.25">
      <c r="A110" t="s">
        <v>196</v>
      </c>
      <c r="B110" t="s">
        <v>161</v>
      </c>
      <c r="C110" t="s">
        <v>58</v>
      </c>
      <c r="D110" t="s">
        <v>99</v>
      </c>
      <c r="E110">
        <v>2021</v>
      </c>
      <c r="F110">
        <v>7</v>
      </c>
      <c r="G110" t="s">
        <v>15</v>
      </c>
      <c r="H110">
        <v>7.7</v>
      </c>
      <c r="I110">
        <v>44.7</v>
      </c>
      <c r="J110" t="s">
        <v>72</v>
      </c>
      <c r="K110" t="s">
        <v>35</v>
      </c>
    </row>
    <row r="111" spans="1:11" x14ac:dyDescent="0.25">
      <c r="A111" t="s">
        <v>197</v>
      </c>
      <c r="B111" t="s">
        <v>70</v>
      </c>
      <c r="C111" t="s">
        <v>33</v>
      </c>
      <c r="D111" t="s">
        <v>52</v>
      </c>
      <c r="E111">
        <v>2016</v>
      </c>
      <c r="F111">
        <v>7</v>
      </c>
      <c r="G111" t="s">
        <v>28</v>
      </c>
      <c r="H111">
        <v>8.9</v>
      </c>
      <c r="I111">
        <v>21.2</v>
      </c>
      <c r="J111" t="s">
        <v>22</v>
      </c>
      <c r="K111" t="s">
        <v>30</v>
      </c>
    </row>
    <row r="112" spans="1:11" x14ac:dyDescent="0.25">
      <c r="A112" t="s">
        <v>198</v>
      </c>
      <c r="B112" t="s">
        <v>54</v>
      </c>
      <c r="C112" t="s">
        <v>58</v>
      </c>
      <c r="D112" t="s">
        <v>52</v>
      </c>
      <c r="E112">
        <v>2019</v>
      </c>
      <c r="F112">
        <v>2</v>
      </c>
      <c r="G112" t="s">
        <v>28</v>
      </c>
      <c r="H112">
        <v>7.3</v>
      </c>
      <c r="I112">
        <v>36</v>
      </c>
      <c r="J112" t="s">
        <v>41</v>
      </c>
      <c r="K112" t="s">
        <v>30</v>
      </c>
    </row>
    <row r="113" spans="1:11" x14ac:dyDescent="0.25">
      <c r="A113" t="s">
        <v>199</v>
      </c>
      <c r="B113" t="s">
        <v>39</v>
      </c>
      <c r="C113" t="s">
        <v>33</v>
      </c>
      <c r="D113" t="s">
        <v>52</v>
      </c>
      <c r="E113">
        <v>2022</v>
      </c>
      <c r="F113">
        <v>2</v>
      </c>
      <c r="G113" t="s">
        <v>28</v>
      </c>
      <c r="H113">
        <v>9.5</v>
      </c>
      <c r="I113">
        <v>21.1</v>
      </c>
      <c r="J113" t="s">
        <v>22</v>
      </c>
      <c r="K113" t="s">
        <v>23</v>
      </c>
    </row>
    <row r="114" spans="1:11" x14ac:dyDescent="0.25">
      <c r="A114" t="s">
        <v>200</v>
      </c>
      <c r="B114" t="s">
        <v>57</v>
      </c>
      <c r="C114" t="s">
        <v>45</v>
      </c>
      <c r="D114" t="s">
        <v>27</v>
      </c>
      <c r="E114">
        <v>2017</v>
      </c>
      <c r="F114">
        <v>5</v>
      </c>
      <c r="G114" t="s">
        <v>71</v>
      </c>
      <c r="H114">
        <v>7</v>
      </c>
      <c r="I114">
        <v>50.7</v>
      </c>
      <c r="J114" t="s">
        <v>22</v>
      </c>
      <c r="K114" t="s">
        <v>68</v>
      </c>
    </row>
    <row r="115" spans="1:11" x14ac:dyDescent="0.25">
      <c r="A115" t="s">
        <v>201</v>
      </c>
      <c r="B115" t="s">
        <v>88</v>
      </c>
      <c r="C115" t="s">
        <v>45</v>
      </c>
      <c r="D115" t="s">
        <v>14</v>
      </c>
      <c r="E115">
        <v>2024</v>
      </c>
      <c r="F115">
        <v>4</v>
      </c>
      <c r="G115" t="s">
        <v>28</v>
      </c>
      <c r="H115">
        <v>7.7</v>
      </c>
      <c r="I115">
        <v>56.7</v>
      </c>
      <c r="J115" t="s">
        <v>34</v>
      </c>
      <c r="K115" t="s">
        <v>35</v>
      </c>
    </row>
    <row r="116" spans="1:11" x14ac:dyDescent="0.25">
      <c r="A116" t="s">
        <v>202</v>
      </c>
      <c r="B116" t="s">
        <v>62</v>
      </c>
      <c r="C116" t="s">
        <v>40</v>
      </c>
      <c r="D116" t="s">
        <v>21</v>
      </c>
      <c r="E116">
        <v>2021</v>
      </c>
      <c r="F116">
        <v>4</v>
      </c>
      <c r="G116" t="s">
        <v>71</v>
      </c>
      <c r="H116">
        <v>8.1</v>
      </c>
      <c r="I116">
        <v>12</v>
      </c>
      <c r="J116" t="s">
        <v>16</v>
      </c>
      <c r="K116" t="s">
        <v>23</v>
      </c>
    </row>
    <row r="117" spans="1:11" x14ac:dyDescent="0.25">
      <c r="A117" t="s">
        <v>203</v>
      </c>
      <c r="B117" t="s">
        <v>130</v>
      </c>
      <c r="C117" t="s">
        <v>26</v>
      </c>
      <c r="D117" t="s">
        <v>14</v>
      </c>
      <c r="E117">
        <v>2022</v>
      </c>
      <c r="F117">
        <v>1</v>
      </c>
      <c r="G117" t="s">
        <v>28</v>
      </c>
      <c r="H117">
        <v>9</v>
      </c>
      <c r="I117">
        <v>51.1</v>
      </c>
      <c r="J117" t="s">
        <v>65</v>
      </c>
      <c r="K117" t="s">
        <v>23</v>
      </c>
    </row>
    <row r="118" spans="1:11" x14ac:dyDescent="0.25">
      <c r="A118" t="s">
        <v>204</v>
      </c>
      <c r="B118" t="s">
        <v>19</v>
      </c>
      <c r="C118" t="s">
        <v>13</v>
      </c>
      <c r="D118" t="s">
        <v>14</v>
      </c>
      <c r="E118">
        <v>2017</v>
      </c>
      <c r="F118">
        <v>2</v>
      </c>
      <c r="G118" t="s">
        <v>15</v>
      </c>
      <c r="H118">
        <v>9.1999999999999993</v>
      </c>
      <c r="I118">
        <v>42.3</v>
      </c>
      <c r="J118" t="s">
        <v>65</v>
      </c>
      <c r="K118" t="s">
        <v>17</v>
      </c>
    </row>
    <row r="119" spans="1:11" x14ac:dyDescent="0.25">
      <c r="A119" t="s">
        <v>205</v>
      </c>
      <c r="B119" t="s">
        <v>133</v>
      </c>
      <c r="C119" t="s">
        <v>13</v>
      </c>
      <c r="D119" t="s">
        <v>52</v>
      </c>
      <c r="E119">
        <v>2018</v>
      </c>
      <c r="F119">
        <v>6</v>
      </c>
      <c r="G119" t="s">
        <v>28</v>
      </c>
      <c r="H119">
        <v>7.2</v>
      </c>
      <c r="I119">
        <v>17.3</v>
      </c>
      <c r="J119" t="s">
        <v>65</v>
      </c>
      <c r="K119" t="s">
        <v>68</v>
      </c>
    </row>
    <row r="120" spans="1:11" x14ac:dyDescent="0.25">
      <c r="A120" t="s">
        <v>206</v>
      </c>
      <c r="B120" t="s">
        <v>64</v>
      </c>
      <c r="C120" t="s">
        <v>33</v>
      </c>
      <c r="D120" t="s">
        <v>76</v>
      </c>
      <c r="E120">
        <v>2015</v>
      </c>
      <c r="F120">
        <v>7</v>
      </c>
      <c r="G120" t="s">
        <v>15</v>
      </c>
      <c r="H120">
        <v>6.6</v>
      </c>
      <c r="I120">
        <v>19.8</v>
      </c>
      <c r="J120" t="s">
        <v>72</v>
      </c>
      <c r="K120" t="s">
        <v>23</v>
      </c>
    </row>
    <row r="121" spans="1:11" x14ac:dyDescent="0.25">
      <c r="A121" t="s">
        <v>207</v>
      </c>
      <c r="B121" t="s">
        <v>106</v>
      </c>
      <c r="C121" t="s">
        <v>26</v>
      </c>
      <c r="D121" t="s">
        <v>21</v>
      </c>
      <c r="E121">
        <v>2017</v>
      </c>
      <c r="F121">
        <v>2</v>
      </c>
      <c r="G121" t="s">
        <v>28</v>
      </c>
      <c r="H121">
        <v>9.1</v>
      </c>
      <c r="I121">
        <v>59.7</v>
      </c>
      <c r="J121" t="s">
        <v>34</v>
      </c>
      <c r="K121" t="s">
        <v>35</v>
      </c>
    </row>
    <row r="122" spans="1:11" x14ac:dyDescent="0.25">
      <c r="A122" t="s">
        <v>208</v>
      </c>
      <c r="B122" t="s">
        <v>67</v>
      </c>
      <c r="C122" t="s">
        <v>49</v>
      </c>
      <c r="D122" t="s">
        <v>14</v>
      </c>
      <c r="E122">
        <v>2017</v>
      </c>
      <c r="F122">
        <v>6</v>
      </c>
      <c r="G122" t="s">
        <v>28</v>
      </c>
      <c r="H122">
        <v>6.6</v>
      </c>
      <c r="I122">
        <v>13.3</v>
      </c>
      <c r="J122" t="s">
        <v>77</v>
      </c>
      <c r="K122" t="s">
        <v>23</v>
      </c>
    </row>
    <row r="123" spans="1:11" x14ac:dyDescent="0.25">
      <c r="A123" t="s">
        <v>209</v>
      </c>
      <c r="B123" t="s">
        <v>25</v>
      </c>
      <c r="C123" t="s">
        <v>20</v>
      </c>
      <c r="D123" t="s">
        <v>99</v>
      </c>
      <c r="E123">
        <v>2022</v>
      </c>
      <c r="F123">
        <v>3</v>
      </c>
      <c r="G123" t="s">
        <v>15</v>
      </c>
      <c r="H123">
        <v>9.5</v>
      </c>
      <c r="I123">
        <v>43.7</v>
      </c>
      <c r="J123" t="s">
        <v>16</v>
      </c>
      <c r="K123" t="s">
        <v>30</v>
      </c>
    </row>
    <row r="124" spans="1:11" x14ac:dyDescent="0.25">
      <c r="A124" t="s">
        <v>210</v>
      </c>
      <c r="B124" t="s">
        <v>147</v>
      </c>
      <c r="C124" t="s">
        <v>26</v>
      </c>
      <c r="D124" t="s">
        <v>76</v>
      </c>
      <c r="E124">
        <v>2021</v>
      </c>
      <c r="F124">
        <v>6</v>
      </c>
      <c r="G124" t="s">
        <v>28</v>
      </c>
      <c r="H124">
        <v>7.6</v>
      </c>
      <c r="I124">
        <v>10.7</v>
      </c>
      <c r="J124" t="s">
        <v>82</v>
      </c>
      <c r="K124" t="s">
        <v>68</v>
      </c>
    </row>
    <row r="125" spans="1:11" x14ac:dyDescent="0.25">
      <c r="A125" t="s">
        <v>211</v>
      </c>
      <c r="B125" t="s">
        <v>51</v>
      </c>
      <c r="C125" t="s">
        <v>58</v>
      </c>
      <c r="D125" t="s">
        <v>27</v>
      </c>
      <c r="E125">
        <v>2015</v>
      </c>
      <c r="F125">
        <v>6</v>
      </c>
      <c r="G125" t="s">
        <v>15</v>
      </c>
      <c r="H125">
        <v>6.6</v>
      </c>
      <c r="I125">
        <v>12.4</v>
      </c>
      <c r="J125" t="s">
        <v>65</v>
      </c>
      <c r="K125" t="s">
        <v>23</v>
      </c>
    </row>
    <row r="126" spans="1:11" x14ac:dyDescent="0.25">
      <c r="A126" t="s">
        <v>212</v>
      </c>
      <c r="B126" t="s">
        <v>86</v>
      </c>
      <c r="C126" t="s">
        <v>45</v>
      </c>
      <c r="D126" t="s">
        <v>27</v>
      </c>
      <c r="E126">
        <v>2023</v>
      </c>
      <c r="F126">
        <v>6</v>
      </c>
      <c r="G126" t="s">
        <v>28</v>
      </c>
      <c r="H126">
        <v>9.4</v>
      </c>
      <c r="I126">
        <v>27</v>
      </c>
      <c r="J126" t="s">
        <v>46</v>
      </c>
      <c r="K126" t="s">
        <v>23</v>
      </c>
    </row>
    <row r="127" spans="1:11" x14ac:dyDescent="0.25">
      <c r="A127" t="s">
        <v>213</v>
      </c>
      <c r="B127" t="s">
        <v>127</v>
      </c>
      <c r="C127" t="s">
        <v>26</v>
      </c>
      <c r="D127" t="s">
        <v>21</v>
      </c>
      <c r="E127">
        <v>2022</v>
      </c>
      <c r="F127">
        <v>1</v>
      </c>
      <c r="G127" t="s">
        <v>71</v>
      </c>
      <c r="H127">
        <v>8.9</v>
      </c>
      <c r="I127">
        <v>10</v>
      </c>
      <c r="J127" t="s">
        <v>29</v>
      </c>
      <c r="K127" t="s">
        <v>42</v>
      </c>
    </row>
    <row r="128" spans="1:11" x14ac:dyDescent="0.25">
      <c r="A128" t="s">
        <v>214</v>
      </c>
      <c r="B128" t="s">
        <v>39</v>
      </c>
      <c r="C128" t="s">
        <v>58</v>
      </c>
      <c r="D128" t="s">
        <v>99</v>
      </c>
      <c r="E128">
        <v>2015</v>
      </c>
      <c r="F128">
        <v>1</v>
      </c>
      <c r="G128" t="s">
        <v>71</v>
      </c>
      <c r="H128">
        <v>8.8000000000000007</v>
      </c>
      <c r="I128">
        <v>29.5</v>
      </c>
      <c r="J128" t="s">
        <v>82</v>
      </c>
      <c r="K128" t="s">
        <v>42</v>
      </c>
    </row>
    <row r="129" spans="1:11" x14ac:dyDescent="0.25">
      <c r="A129" t="s">
        <v>215</v>
      </c>
      <c r="B129" t="s">
        <v>133</v>
      </c>
      <c r="C129" t="s">
        <v>20</v>
      </c>
      <c r="D129" t="s">
        <v>99</v>
      </c>
      <c r="E129">
        <v>2025</v>
      </c>
      <c r="F129">
        <v>5</v>
      </c>
      <c r="G129" t="s">
        <v>28</v>
      </c>
      <c r="H129">
        <v>7.3</v>
      </c>
      <c r="I129">
        <v>24.2</v>
      </c>
      <c r="J129" t="s">
        <v>22</v>
      </c>
      <c r="K129" t="s">
        <v>35</v>
      </c>
    </row>
    <row r="130" spans="1:11" x14ac:dyDescent="0.25">
      <c r="A130" t="s">
        <v>216</v>
      </c>
      <c r="B130" t="s">
        <v>88</v>
      </c>
      <c r="C130" t="s">
        <v>49</v>
      </c>
      <c r="D130" t="s">
        <v>76</v>
      </c>
      <c r="E130">
        <v>2025</v>
      </c>
      <c r="F130">
        <v>4</v>
      </c>
      <c r="G130" t="s">
        <v>28</v>
      </c>
      <c r="H130">
        <v>6.6</v>
      </c>
      <c r="I130">
        <v>56</v>
      </c>
      <c r="J130" t="s">
        <v>41</v>
      </c>
      <c r="K130" t="s">
        <v>30</v>
      </c>
    </row>
    <row r="131" spans="1:11" x14ac:dyDescent="0.25">
      <c r="A131" t="s">
        <v>217</v>
      </c>
      <c r="B131" t="s">
        <v>114</v>
      </c>
      <c r="C131" t="s">
        <v>49</v>
      </c>
      <c r="D131" t="s">
        <v>14</v>
      </c>
      <c r="E131">
        <v>2024</v>
      </c>
      <c r="F131">
        <v>8</v>
      </c>
      <c r="G131" t="s">
        <v>28</v>
      </c>
      <c r="H131">
        <v>7.8</v>
      </c>
      <c r="I131">
        <v>17.399999999999999</v>
      </c>
      <c r="J131" t="s">
        <v>65</v>
      </c>
      <c r="K131" t="s">
        <v>23</v>
      </c>
    </row>
    <row r="132" spans="1:11" x14ac:dyDescent="0.25">
      <c r="A132" t="s">
        <v>218</v>
      </c>
      <c r="B132" t="s">
        <v>86</v>
      </c>
      <c r="C132" t="s">
        <v>115</v>
      </c>
      <c r="D132" t="s">
        <v>99</v>
      </c>
      <c r="E132">
        <v>2023</v>
      </c>
      <c r="F132">
        <v>4</v>
      </c>
      <c r="G132" t="s">
        <v>28</v>
      </c>
      <c r="H132">
        <v>7.6</v>
      </c>
      <c r="I132">
        <v>10.1</v>
      </c>
      <c r="J132" t="s">
        <v>72</v>
      </c>
      <c r="K132" t="s">
        <v>35</v>
      </c>
    </row>
    <row r="133" spans="1:11" x14ac:dyDescent="0.25">
      <c r="A133" t="s">
        <v>219</v>
      </c>
      <c r="B133" t="s">
        <v>57</v>
      </c>
      <c r="C133" t="s">
        <v>40</v>
      </c>
      <c r="D133" t="s">
        <v>14</v>
      </c>
      <c r="E133">
        <v>2016</v>
      </c>
      <c r="F133">
        <v>7</v>
      </c>
      <c r="G133" t="s">
        <v>28</v>
      </c>
      <c r="H133">
        <v>8.9</v>
      </c>
      <c r="I133">
        <v>18.5</v>
      </c>
      <c r="J133" t="s">
        <v>41</v>
      </c>
      <c r="K133" t="s">
        <v>42</v>
      </c>
    </row>
    <row r="134" spans="1:11" x14ac:dyDescent="0.25">
      <c r="A134" t="s">
        <v>220</v>
      </c>
      <c r="B134" t="s">
        <v>84</v>
      </c>
      <c r="C134" t="s">
        <v>49</v>
      </c>
      <c r="D134" t="s">
        <v>21</v>
      </c>
      <c r="E134">
        <v>2023</v>
      </c>
      <c r="F134">
        <v>7</v>
      </c>
      <c r="G134" t="s">
        <v>71</v>
      </c>
      <c r="H134">
        <v>6.5</v>
      </c>
      <c r="I134">
        <v>21.1</v>
      </c>
      <c r="J134" t="s">
        <v>55</v>
      </c>
      <c r="K134" t="s">
        <v>60</v>
      </c>
    </row>
    <row r="135" spans="1:11" x14ac:dyDescent="0.25">
      <c r="A135" t="s">
        <v>221</v>
      </c>
      <c r="B135" t="s">
        <v>32</v>
      </c>
      <c r="C135" t="s">
        <v>115</v>
      </c>
      <c r="D135" t="s">
        <v>76</v>
      </c>
      <c r="E135">
        <v>2015</v>
      </c>
      <c r="F135">
        <v>5</v>
      </c>
      <c r="G135" t="s">
        <v>15</v>
      </c>
      <c r="H135">
        <v>8.3000000000000007</v>
      </c>
      <c r="I135">
        <v>50.6</v>
      </c>
      <c r="J135" t="s">
        <v>29</v>
      </c>
      <c r="K135" t="s">
        <v>60</v>
      </c>
    </row>
    <row r="136" spans="1:11" x14ac:dyDescent="0.25">
      <c r="A136" t="s">
        <v>222</v>
      </c>
      <c r="B136" t="s">
        <v>157</v>
      </c>
      <c r="C136" t="s">
        <v>40</v>
      </c>
      <c r="D136" t="s">
        <v>52</v>
      </c>
      <c r="E136">
        <v>2016</v>
      </c>
      <c r="F136">
        <v>5</v>
      </c>
      <c r="G136" t="s">
        <v>71</v>
      </c>
      <c r="H136">
        <v>9.3000000000000007</v>
      </c>
      <c r="I136">
        <v>40.1</v>
      </c>
      <c r="J136" t="s">
        <v>59</v>
      </c>
      <c r="K136" t="s">
        <v>30</v>
      </c>
    </row>
    <row r="137" spans="1:11" x14ac:dyDescent="0.25">
      <c r="A137" t="s">
        <v>223</v>
      </c>
      <c r="B137" t="s">
        <v>57</v>
      </c>
      <c r="C137" t="s">
        <v>74</v>
      </c>
      <c r="D137" t="s">
        <v>76</v>
      </c>
      <c r="E137">
        <v>2019</v>
      </c>
      <c r="F137">
        <v>3</v>
      </c>
      <c r="G137" t="s">
        <v>28</v>
      </c>
      <c r="H137">
        <v>6.9</v>
      </c>
      <c r="I137">
        <v>57.5</v>
      </c>
      <c r="J137" t="s">
        <v>16</v>
      </c>
      <c r="K137" t="s">
        <v>17</v>
      </c>
    </row>
    <row r="138" spans="1:11" x14ac:dyDescent="0.25">
      <c r="A138" t="s">
        <v>224</v>
      </c>
      <c r="B138" t="s">
        <v>112</v>
      </c>
      <c r="C138" t="s">
        <v>45</v>
      </c>
      <c r="D138" t="s">
        <v>14</v>
      </c>
      <c r="E138">
        <v>2023</v>
      </c>
      <c r="F138">
        <v>1</v>
      </c>
      <c r="G138" t="s">
        <v>28</v>
      </c>
      <c r="H138">
        <v>6.6</v>
      </c>
      <c r="I138">
        <v>57.5</v>
      </c>
      <c r="J138" t="s">
        <v>82</v>
      </c>
      <c r="K138" t="s">
        <v>30</v>
      </c>
    </row>
    <row r="139" spans="1:11" x14ac:dyDescent="0.25">
      <c r="A139" t="s">
        <v>225</v>
      </c>
      <c r="B139" t="s">
        <v>226</v>
      </c>
      <c r="C139" t="s">
        <v>26</v>
      </c>
      <c r="D139" t="s">
        <v>99</v>
      </c>
      <c r="E139">
        <v>2016</v>
      </c>
      <c r="F139">
        <v>1</v>
      </c>
      <c r="G139" t="s">
        <v>28</v>
      </c>
      <c r="H139">
        <v>7.7</v>
      </c>
      <c r="I139">
        <v>22.1</v>
      </c>
      <c r="J139" t="s">
        <v>59</v>
      </c>
      <c r="K139" t="s">
        <v>35</v>
      </c>
    </row>
    <row r="140" spans="1:11" x14ac:dyDescent="0.25">
      <c r="A140" t="s">
        <v>227</v>
      </c>
      <c r="B140" t="s">
        <v>226</v>
      </c>
      <c r="C140" t="s">
        <v>40</v>
      </c>
      <c r="D140" t="s">
        <v>99</v>
      </c>
      <c r="E140">
        <v>2021</v>
      </c>
      <c r="F140">
        <v>3</v>
      </c>
      <c r="G140" t="s">
        <v>28</v>
      </c>
      <c r="H140">
        <v>9.4</v>
      </c>
      <c r="I140">
        <v>36.1</v>
      </c>
      <c r="J140" t="s">
        <v>29</v>
      </c>
      <c r="K140" t="s">
        <v>30</v>
      </c>
    </row>
    <row r="141" spans="1:11" x14ac:dyDescent="0.25">
      <c r="A141" t="s">
        <v>228</v>
      </c>
      <c r="B141" t="s">
        <v>108</v>
      </c>
      <c r="C141" t="s">
        <v>33</v>
      </c>
      <c r="D141" t="s">
        <v>76</v>
      </c>
      <c r="E141">
        <v>2025</v>
      </c>
      <c r="F141">
        <v>7</v>
      </c>
      <c r="G141" t="s">
        <v>28</v>
      </c>
      <c r="H141">
        <v>7.5</v>
      </c>
      <c r="I141">
        <v>26.7</v>
      </c>
      <c r="J141" t="s">
        <v>55</v>
      </c>
      <c r="K141" t="s">
        <v>60</v>
      </c>
    </row>
    <row r="142" spans="1:11" x14ac:dyDescent="0.25">
      <c r="A142" t="s">
        <v>229</v>
      </c>
      <c r="B142" t="s">
        <v>106</v>
      </c>
      <c r="C142" t="s">
        <v>26</v>
      </c>
      <c r="D142" t="s">
        <v>76</v>
      </c>
      <c r="E142">
        <v>2017</v>
      </c>
      <c r="F142">
        <v>5</v>
      </c>
      <c r="G142" t="s">
        <v>71</v>
      </c>
      <c r="H142">
        <v>7.4</v>
      </c>
      <c r="I142">
        <v>16.8</v>
      </c>
      <c r="J142" t="s">
        <v>29</v>
      </c>
      <c r="K142" t="s">
        <v>35</v>
      </c>
    </row>
    <row r="143" spans="1:11" x14ac:dyDescent="0.25">
      <c r="A143" t="s">
        <v>230</v>
      </c>
      <c r="B143" t="s">
        <v>133</v>
      </c>
      <c r="C143" t="s">
        <v>115</v>
      </c>
      <c r="D143" t="s">
        <v>14</v>
      </c>
      <c r="E143">
        <v>2017</v>
      </c>
      <c r="F143">
        <v>1</v>
      </c>
      <c r="G143" t="s">
        <v>28</v>
      </c>
      <c r="H143">
        <v>8.8000000000000007</v>
      </c>
      <c r="I143">
        <v>8.1999999999999993</v>
      </c>
      <c r="J143" t="s">
        <v>41</v>
      </c>
      <c r="K143" t="s">
        <v>42</v>
      </c>
    </row>
    <row r="144" spans="1:11" x14ac:dyDescent="0.25">
      <c r="A144" t="s">
        <v>231</v>
      </c>
      <c r="B144" t="s">
        <v>67</v>
      </c>
      <c r="C144" t="s">
        <v>49</v>
      </c>
      <c r="D144" t="s">
        <v>14</v>
      </c>
      <c r="E144">
        <v>2018</v>
      </c>
      <c r="F144">
        <v>8</v>
      </c>
      <c r="G144" t="s">
        <v>28</v>
      </c>
      <c r="H144">
        <v>8.3000000000000007</v>
      </c>
      <c r="I144">
        <v>8.9</v>
      </c>
      <c r="J144" t="s">
        <v>77</v>
      </c>
      <c r="K144" t="s">
        <v>35</v>
      </c>
    </row>
    <row r="145" spans="1:11" x14ac:dyDescent="0.25">
      <c r="A145" t="s">
        <v>232</v>
      </c>
      <c r="B145" t="s">
        <v>98</v>
      </c>
      <c r="C145" t="s">
        <v>20</v>
      </c>
      <c r="D145" t="s">
        <v>52</v>
      </c>
      <c r="E145">
        <v>2017</v>
      </c>
      <c r="F145">
        <v>7</v>
      </c>
      <c r="G145" t="s">
        <v>15</v>
      </c>
      <c r="H145">
        <v>7.2</v>
      </c>
      <c r="I145">
        <v>17.7</v>
      </c>
      <c r="J145" t="s">
        <v>46</v>
      </c>
      <c r="K145" t="s">
        <v>42</v>
      </c>
    </row>
    <row r="146" spans="1:11" x14ac:dyDescent="0.25">
      <c r="A146" t="s">
        <v>233</v>
      </c>
      <c r="B146" t="s">
        <v>54</v>
      </c>
      <c r="C146" t="s">
        <v>74</v>
      </c>
      <c r="D146" t="s">
        <v>99</v>
      </c>
      <c r="E146">
        <v>2015</v>
      </c>
      <c r="F146">
        <v>8</v>
      </c>
      <c r="G146" t="s">
        <v>28</v>
      </c>
      <c r="H146">
        <v>6.5</v>
      </c>
      <c r="I146">
        <v>9.9</v>
      </c>
      <c r="J146" t="s">
        <v>41</v>
      </c>
      <c r="K146" t="s">
        <v>68</v>
      </c>
    </row>
    <row r="147" spans="1:11" x14ac:dyDescent="0.25">
      <c r="A147" t="s">
        <v>234</v>
      </c>
      <c r="B147" t="s">
        <v>64</v>
      </c>
      <c r="C147" t="s">
        <v>40</v>
      </c>
      <c r="D147" t="s">
        <v>14</v>
      </c>
      <c r="E147">
        <v>2024</v>
      </c>
      <c r="F147">
        <v>3</v>
      </c>
      <c r="G147" t="s">
        <v>28</v>
      </c>
      <c r="H147">
        <v>9.1999999999999993</v>
      </c>
      <c r="I147">
        <v>38.6</v>
      </c>
      <c r="J147" t="s">
        <v>65</v>
      </c>
      <c r="K147" t="s">
        <v>42</v>
      </c>
    </row>
    <row r="148" spans="1:11" x14ac:dyDescent="0.25">
      <c r="A148" t="s">
        <v>235</v>
      </c>
      <c r="B148" t="s">
        <v>236</v>
      </c>
      <c r="C148" t="s">
        <v>45</v>
      </c>
      <c r="D148" t="s">
        <v>21</v>
      </c>
      <c r="E148">
        <v>2016</v>
      </c>
      <c r="F148">
        <v>7</v>
      </c>
      <c r="G148" t="s">
        <v>28</v>
      </c>
      <c r="H148">
        <v>8.1999999999999993</v>
      </c>
      <c r="I148">
        <v>40.4</v>
      </c>
      <c r="J148" t="s">
        <v>77</v>
      </c>
      <c r="K148" t="s">
        <v>60</v>
      </c>
    </row>
    <row r="149" spans="1:11" x14ac:dyDescent="0.25">
      <c r="A149" t="s">
        <v>237</v>
      </c>
      <c r="B149" t="s">
        <v>64</v>
      </c>
      <c r="C149" t="s">
        <v>26</v>
      </c>
      <c r="D149" t="s">
        <v>52</v>
      </c>
      <c r="E149">
        <v>2024</v>
      </c>
      <c r="F149">
        <v>4</v>
      </c>
      <c r="G149" t="s">
        <v>71</v>
      </c>
      <c r="H149">
        <v>8.5</v>
      </c>
      <c r="I149">
        <v>51.5</v>
      </c>
      <c r="J149" t="s">
        <v>59</v>
      </c>
      <c r="K149" t="s">
        <v>30</v>
      </c>
    </row>
    <row r="150" spans="1:11" x14ac:dyDescent="0.25">
      <c r="A150" t="s">
        <v>238</v>
      </c>
      <c r="B150" t="s">
        <v>106</v>
      </c>
      <c r="C150" t="s">
        <v>26</v>
      </c>
      <c r="D150" t="s">
        <v>76</v>
      </c>
      <c r="E150">
        <v>2025</v>
      </c>
      <c r="F150">
        <v>5</v>
      </c>
      <c r="G150" t="s">
        <v>28</v>
      </c>
      <c r="H150">
        <v>8.6999999999999993</v>
      </c>
      <c r="I150">
        <v>30.2</v>
      </c>
      <c r="J150" t="s">
        <v>22</v>
      </c>
      <c r="K150" t="s">
        <v>60</v>
      </c>
    </row>
    <row r="151" spans="1:11" x14ac:dyDescent="0.25">
      <c r="A151" t="s">
        <v>239</v>
      </c>
      <c r="B151" t="s">
        <v>98</v>
      </c>
      <c r="C151" t="s">
        <v>45</v>
      </c>
      <c r="D151" t="s">
        <v>14</v>
      </c>
      <c r="E151">
        <v>2019</v>
      </c>
      <c r="F151">
        <v>6</v>
      </c>
      <c r="G151" t="s">
        <v>15</v>
      </c>
      <c r="H151">
        <v>9</v>
      </c>
      <c r="I151">
        <v>11.2</v>
      </c>
      <c r="J151" t="s">
        <v>59</v>
      </c>
      <c r="K151" t="s">
        <v>42</v>
      </c>
    </row>
    <row r="152" spans="1:11" x14ac:dyDescent="0.25">
      <c r="A152" t="s">
        <v>240</v>
      </c>
      <c r="B152" t="s">
        <v>130</v>
      </c>
      <c r="C152" t="s">
        <v>49</v>
      </c>
      <c r="D152" t="s">
        <v>76</v>
      </c>
      <c r="E152">
        <v>2021</v>
      </c>
      <c r="F152">
        <v>7</v>
      </c>
      <c r="G152" t="s">
        <v>28</v>
      </c>
      <c r="H152">
        <v>6.8</v>
      </c>
      <c r="I152">
        <v>14.2</v>
      </c>
      <c r="J152" t="s">
        <v>59</v>
      </c>
      <c r="K152" t="s">
        <v>68</v>
      </c>
    </row>
    <row r="153" spans="1:11" x14ac:dyDescent="0.25">
      <c r="A153" t="s">
        <v>241</v>
      </c>
      <c r="B153" t="s">
        <v>12</v>
      </c>
      <c r="C153" t="s">
        <v>33</v>
      </c>
      <c r="D153" t="s">
        <v>21</v>
      </c>
      <c r="E153">
        <v>2022</v>
      </c>
      <c r="F153">
        <v>1</v>
      </c>
      <c r="G153" t="s">
        <v>28</v>
      </c>
      <c r="H153">
        <v>8.6999999999999993</v>
      </c>
      <c r="I153">
        <v>47</v>
      </c>
      <c r="J153" t="s">
        <v>16</v>
      </c>
      <c r="K153" t="s">
        <v>35</v>
      </c>
    </row>
    <row r="154" spans="1:11" x14ac:dyDescent="0.25">
      <c r="A154" t="s">
        <v>242</v>
      </c>
      <c r="B154" t="s">
        <v>171</v>
      </c>
      <c r="C154" t="s">
        <v>20</v>
      </c>
      <c r="D154" t="s">
        <v>21</v>
      </c>
      <c r="E154">
        <v>2016</v>
      </c>
      <c r="F154">
        <v>7</v>
      </c>
      <c r="G154" t="s">
        <v>28</v>
      </c>
      <c r="H154">
        <v>8.9</v>
      </c>
      <c r="I154">
        <v>55.3</v>
      </c>
      <c r="J154" t="s">
        <v>16</v>
      </c>
      <c r="K154" t="s">
        <v>30</v>
      </c>
    </row>
    <row r="155" spans="1:11" x14ac:dyDescent="0.25">
      <c r="A155" t="s">
        <v>243</v>
      </c>
      <c r="B155" t="s">
        <v>67</v>
      </c>
      <c r="C155" t="s">
        <v>58</v>
      </c>
      <c r="D155" t="s">
        <v>99</v>
      </c>
      <c r="E155">
        <v>2018</v>
      </c>
      <c r="F155">
        <v>7</v>
      </c>
      <c r="G155" t="s">
        <v>28</v>
      </c>
      <c r="H155">
        <v>7.1</v>
      </c>
      <c r="I155">
        <v>30.9</v>
      </c>
      <c r="J155" t="s">
        <v>34</v>
      </c>
      <c r="K155" t="s">
        <v>42</v>
      </c>
    </row>
    <row r="156" spans="1:11" x14ac:dyDescent="0.25">
      <c r="A156" t="s">
        <v>244</v>
      </c>
      <c r="B156" t="s">
        <v>93</v>
      </c>
      <c r="C156" t="s">
        <v>58</v>
      </c>
      <c r="D156" t="s">
        <v>76</v>
      </c>
      <c r="E156">
        <v>2018</v>
      </c>
      <c r="F156">
        <v>2</v>
      </c>
      <c r="G156" t="s">
        <v>28</v>
      </c>
      <c r="H156">
        <v>9.6</v>
      </c>
      <c r="I156">
        <v>54.6</v>
      </c>
      <c r="J156" t="s">
        <v>41</v>
      </c>
      <c r="K156" t="s">
        <v>68</v>
      </c>
    </row>
    <row r="157" spans="1:11" x14ac:dyDescent="0.25">
      <c r="A157" t="s">
        <v>245</v>
      </c>
      <c r="B157" t="s">
        <v>236</v>
      </c>
      <c r="C157" t="s">
        <v>20</v>
      </c>
      <c r="D157" t="s">
        <v>21</v>
      </c>
      <c r="E157">
        <v>2023</v>
      </c>
      <c r="F157">
        <v>3</v>
      </c>
      <c r="G157" t="s">
        <v>28</v>
      </c>
      <c r="H157">
        <v>8.5</v>
      </c>
      <c r="I157">
        <v>27.7</v>
      </c>
      <c r="J157" t="s">
        <v>41</v>
      </c>
      <c r="K157" t="s">
        <v>42</v>
      </c>
    </row>
    <row r="158" spans="1:11" x14ac:dyDescent="0.25">
      <c r="A158" t="s">
        <v>246</v>
      </c>
      <c r="B158" t="s">
        <v>121</v>
      </c>
      <c r="C158" t="s">
        <v>40</v>
      </c>
      <c r="D158" t="s">
        <v>14</v>
      </c>
      <c r="E158">
        <v>2016</v>
      </c>
      <c r="F158">
        <v>2</v>
      </c>
      <c r="G158" t="s">
        <v>28</v>
      </c>
      <c r="H158">
        <v>8.1999999999999993</v>
      </c>
      <c r="I158">
        <v>21.8</v>
      </c>
      <c r="J158" t="s">
        <v>41</v>
      </c>
      <c r="K158" t="s">
        <v>23</v>
      </c>
    </row>
    <row r="159" spans="1:11" x14ac:dyDescent="0.25">
      <c r="A159" t="s">
        <v>247</v>
      </c>
      <c r="B159" t="s">
        <v>86</v>
      </c>
      <c r="C159" t="s">
        <v>115</v>
      </c>
      <c r="D159" t="s">
        <v>27</v>
      </c>
      <c r="E159">
        <v>2015</v>
      </c>
      <c r="F159">
        <v>5</v>
      </c>
      <c r="G159" t="s">
        <v>15</v>
      </c>
      <c r="H159">
        <v>9.1</v>
      </c>
      <c r="I159">
        <v>55.1</v>
      </c>
      <c r="J159" t="s">
        <v>16</v>
      </c>
      <c r="K159" t="s">
        <v>68</v>
      </c>
    </row>
    <row r="160" spans="1:11" x14ac:dyDescent="0.25">
      <c r="A160" t="s">
        <v>248</v>
      </c>
      <c r="B160" t="s">
        <v>44</v>
      </c>
      <c r="C160" t="s">
        <v>45</v>
      </c>
      <c r="D160" t="s">
        <v>27</v>
      </c>
      <c r="E160">
        <v>2019</v>
      </c>
      <c r="F160">
        <v>2</v>
      </c>
      <c r="G160" t="s">
        <v>28</v>
      </c>
      <c r="H160">
        <v>8</v>
      </c>
      <c r="I160">
        <v>57.5</v>
      </c>
      <c r="J160" t="s">
        <v>46</v>
      </c>
      <c r="K160" t="s">
        <v>23</v>
      </c>
    </row>
    <row r="161" spans="1:11" x14ac:dyDescent="0.25">
      <c r="A161" t="s">
        <v>249</v>
      </c>
      <c r="B161" t="s">
        <v>84</v>
      </c>
      <c r="C161" t="s">
        <v>33</v>
      </c>
      <c r="D161" t="s">
        <v>21</v>
      </c>
      <c r="E161">
        <v>2017</v>
      </c>
      <c r="F161">
        <v>6</v>
      </c>
      <c r="G161" t="s">
        <v>15</v>
      </c>
      <c r="H161">
        <v>9</v>
      </c>
      <c r="I161">
        <v>51.1</v>
      </c>
      <c r="J161" t="s">
        <v>59</v>
      </c>
      <c r="K161" t="s">
        <v>17</v>
      </c>
    </row>
    <row r="162" spans="1:11" x14ac:dyDescent="0.25">
      <c r="A162" t="s">
        <v>250</v>
      </c>
      <c r="B162" t="s">
        <v>106</v>
      </c>
      <c r="C162" t="s">
        <v>13</v>
      </c>
      <c r="D162" t="s">
        <v>52</v>
      </c>
      <c r="E162">
        <v>2023</v>
      </c>
      <c r="F162">
        <v>5</v>
      </c>
      <c r="G162" t="s">
        <v>15</v>
      </c>
      <c r="H162">
        <v>9.1</v>
      </c>
      <c r="I162">
        <v>20.9</v>
      </c>
      <c r="J162" t="s">
        <v>22</v>
      </c>
      <c r="K162" t="s">
        <v>60</v>
      </c>
    </row>
    <row r="163" spans="1:11" x14ac:dyDescent="0.25">
      <c r="A163" t="s">
        <v>251</v>
      </c>
      <c r="B163" t="s">
        <v>104</v>
      </c>
      <c r="C163" t="s">
        <v>58</v>
      </c>
      <c r="D163" t="s">
        <v>52</v>
      </c>
      <c r="E163">
        <v>2020</v>
      </c>
      <c r="F163">
        <v>8</v>
      </c>
      <c r="G163" t="s">
        <v>28</v>
      </c>
      <c r="H163">
        <v>7.6</v>
      </c>
      <c r="I163">
        <v>21.7</v>
      </c>
      <c r="J163" t="s">
        <v>59</v>
      </c>
      <c r="K163" t="s">
        <v>42</v>
      </c>
    </row>
    <row r="164" spans="1:11" x14ac:dyDescent="0.25">
      <c r="A164" t="s">
        <v>252</v>
      </c>
      <c r="B164" t="s">
        <v>161</v>
      </c>
      <c r="C164" t="s">
        <v>74</v>
      </c>
      <c r="D164" t="s">
        <v>76</v>
      </c>
      <c r="E164">
        <v>2024</v>
      </c>
      <c r="F164">
        <v>1</v>
      </c>
      <c r="G164" t="s">
        <v>71</v>
      </c>
      <c r="H164">
        <v>7</v>
      </c>
      <c r="I164">
        <v>43.6</v>
      </c>
      <c r="J164" t="s">
        <v>22</v>
      </c>
      <c r="K164" t="s">
        <v>23</v>
      </c>
    </row>
    <row r="165" spans="1:11" x14ac:dyDescent="0.25">
      <c r="A165" t="s">
        <v>253</v>
      </c>
      <c r="B165" t="s">
        <v>88</v>
      </c>
      <c r="C165" t="s">
        <v>49</v>
      </c>
      <c r="D165" t="s">
        <v>14</v>
      </c>
      <c r="E165">
        <v>2018</v>
      </c>
      <c r="F165">
        <v>1</v>
      </c>
      <c r="G165" t="s">
        <v>28</v>
      </c>
      <c r="H165">
        <v>9.6</v>
      </c>
      <c r="I165">
        <v>29.6</v>
      </c>
      <c r="J165" t="s">
        <v>34</v>
      </c>
      <c r="K165" t="s">
        <v>68</v>
      </c>
    </row>
    <row r="166" spans="1:11" x14ac:dyDescent="0.25">
      <c r="A166" t="s">
        <v>254</v>
      </c>
      <c r="B166" t="s">
        <v>86</v>
      </c>
      <c r="C166" t="s">
        <v>115</v>
      </c>
      <c r="D166" t="s">
        <v>27</v>
      </c>
      <c r="E166">
        <v>2021</v>
      </c>
      <c r="F166">
        <v>2</v>
      </c>
      <c r="G166" t="s">
        <v>28</v>
      </c>
      <c r="H166">
        <v>8.1999999999999993</v>
      </c>
      <c r="I166">
        <v>27.1</v>
      </c>
      <c r="J166" t="s">
        <v>59</v>
      </c>
      <c r="K166" t="s">
        <v>42</v>
      </c>
    </row>
    <row r="167" spans="1:11" x14ac:dyDescent="0.25">
      <c r="A167" t="s">
        <v>255</v>
      </c>
      <c r="B167" t="s">
        <v>64</v>
      </c>
      <c r="C167" t="s">
        <v>115</v>
      </c>
      <c r="D167" t="s">
        <v>52</v>
      </c>
      <c r="E167">
        <v>2022</v>
      </c>
      <c r="F167">
        <v>7</v>
      </c>
      <c r="G167" t="s">
        <v>28</v>
      </c>
      <c r="H167">
        <v>6.7</v>
      </c>
      <c r="I167">
        <v>41.7</v>
      </c>
      <c r="J167" t="s">
        <v>59</v>
      </c>
      <c r="K167" t="s">
        <v>30</v>
      </c>
    </row>
    <row r="168" spans="1:11" x14ac:dyDescent="0.25">
      <c r="A168" t="s">
        <v>256</v>
      </c>
      <c r="B168" t="s">
        <v>112</v>
      </c>
      <c r="C168" t="s">
        <v>74</v>
      </c>
      <c r="D168" t="s">
        <v>52</v>
      </c>
      <c r="E168">
        <v>2019</v>
      </c>
      <c r="F168">
        <v>7</v>
      </c>
      <c r="G168" t="s">
        <v>15</v>
      </c>
      <c r="H168">
        <v>6.6</v>
      </c>
      <c r="I168">
        <v>50.6</v>
      </c>
      <c r="J168" t="s">
        <v>46</v>
      </c>
      <c r="K168" t="s">
        <v>68</v>
      </c>
    </row>
    <row r="169" spans="1:11" x14ac:dyDescent="0.25">
      <c r="A169" t="s">
        <v>257</v>
      </c>
      <c r="B169" t="s">
        <v>64</v>
      </c>
      <c r="C169" t="s">
        <v>33</v>
      </c>
      <c r="D169" t="s">
        <v>21</v>
      </c>
      <c r="E169">
        <v>2023</v>
      </c>
      <c r="F169">
        <v>3</v>
      </c>
      <c r="G169" t="s">
        <v>28</v>
      </c>
      <c r="H169">
        <v>7.1</v>
      </c>
      <c r="I169">
        <v>43.1</v>
      </c>
      <c r="J169" t="s">
        <v>72</v>
      </c>
      <c r="K169" t="s">
        <v>68</v>
      </c>
    </row>
    <row r="170" spans="1:11" x14ac:dyDescent="0.25">
      <c r="A170" t="s">
        <v>258</v>
      </c>
      <c r="B170" t="s">
        <v>96</v>
      </c>
      <c r="C170" t="s">
        <v>20</v>
      </c>
      <c r="D170" t="s">
        <v>99</v>
      </c>
      <c r="E170">
        <v>2022</v>
      </c>
      <c r="F170">
        <v>3</v>
      </c>
      <c r="G170" t="s">
        <v>15</v>
      </c>
      <c r="H170">
        <v>9.8000000000000007</v>
      </c>
      <c r="I170">
        <v>12.2</v>
      </c>
      <c r="J170" t="s">
        <v>72</v>
      </c>
      <c r="K170" t="s">
        <v>60</v>
      </c>
    </row>
    <row r="171" spans="1:11" x14ac:dyDescent="0.25">
      <c r="A171" t="s">
        <v>259</v>
      </c>
      <c r="B171" t="s">
        <v>81</v>
      </c>
      <c r="C171" t="s">
        <v>20</v>
      </c>
      <c r="D171" t="s">
        <v>27</v>
      </c>
      <c r="E171">
        <v>2022</v>
      </c>
      <c r="F171">
        <v>5</v>
      </c>
      <c r="G171" t="s">
        <v>28</v>
      </c>
      <c r="H171">
        <v>8.9</v>
      </c>
      <c r="I171">
        <v>49.3</v>
      </c>
      <c r="J171" t="s">
        <v>82</v>
      </c>
      <c r="K171" t="s">
        <v>30</v>
      </c>
    </row>
    <row r="172" spans="1:11" x14ac:dyDescent="0.25">
      <c r="A172" t="s">
        <v>260</v>
      </c>
      <c r="B172" t="s">
        <v>226</v>
      </c>
      <c r="C172" t="s">
        <v>20</v>
      </c>
      <c r="D172" t="s">
        <v>27</v>
      </c>
      <c r="E172">
        <v>2025</v>
      </c>
      <c r="F172">
        <v>3</v>
      </c>
      <c r="G172" t="s">
        <v>28</v>
      </c>
      <c r="H172">
        <v>9.5</v>
      </c>
      <c r="I172">
        <v>55.1</v>
      </c>
      <c r="J172" t="s">
        <v>29</v>
      </c>
      <c r="K172" t="s">
        <v>30</v>
      </c>
    </row>
    <row r="173" spans="1:11" x14ac:dyDescent="0.25">
      <c r="A173" t="s">
        <v>261</v>
      </c>
      <c r="B173" t="s">
        <v>262</v>
      </c>
      <c r="C173" t="s">
        <v>40</v>
      </c>
      <c r="D173" t="s">
        <v>27</v>
      </c>
      <c r="E173">
        <v>2023</v>
      </c>
      <c r="F173">
        <v>3</v>
      </c>
      <c r="G173" t="s">
        <v>71</v>
      </c>
      <c r="H173">
        <v>7.1</v>
      </c>
      <c r="I173">
        <v>44.3</v>
      </c>
      <c r="J173" t="s">
        <v>41</v>
      </c>
      <c r="K173" t="s">
        <v>23</v>
      </c>
    </row>
    <row r="174" spans="1:11" x14ac:dyDescent="0.25">
      <c r="A174" t="s">
        <v>263</v>
      </c>
      <c r="B174" t="s">
        <v>112</v>
      </c>
      <c r="C174" t="s">
        <v>20</v>
      </c>
      <c r="D174" t="s">
        <v>52</v>
      </c>
      <c r="E174">
        <v>2022</v>
      </c>
      <c r="F174">
        <v>5</v>
      </c>
      <c r="G174" t="s">
        <v>28</v>
      </c>
      <c r="H174">
        <v>9.5</v>
      </c>
      <c r="I174">
        <v>45.2</v>
      </c>
      <c r="J174" t="s">
        <v>46</v>
      </c>
      <c r="K174" t="s">
        <v>68</v>
      </c>
    </row>
    <row r="175" spans="1:11" x14ac:dyDescent="0.25">
      <c r="A175" t="s">
        <v>264</v>
      </c>
      <c r="B175" t="s">
        <v>62</v>
      </c>
      <c r="C175" t="s">
        <v>45</v>
      </c>
      <c r="D175" t="s">
        <v>99</v>
      </c>
      <c r="E175">
        <v>2021</v>
      </c>
      <c r="F175">
        <v>3</v>
      </c>
      <c r="G175" t="s">
        <v>28</v>
      </c>
      <c r="H175">
        <v>7</v>
      </c>
      <c r="I175">
        <v>33.4</v>
      </c>
      <c r="J175" t="s">
        <v>82</v>
      </c>
      <c r="K175" t="s">
        <v>60</v>
      </c>
    </row>
    <row r="176" spans="1:11" x14ac:dyDescent="0.25">
      <c r="A176" t="s">
        <v>265</v>
      </c>
      <c r="B176" t="s">
        <v>86</v>
      </c>
      <c r="C176" t="s">
        <v>58</v>
      </c>
      <c r="D176" t="s">
        <v>76</v>
      </c>
      <c r="E176">
        <v>2018</v>
      </c>
      <c r="F176">
        <v>6</v>
      </c>
      <c r="G176" t="s">
        <v>28</v>
      </c>
      <c r="H176">
        <v>9.1999999999999993</v>
      </c>
      <c r="I176">
        <v>35.200000000000003</v>
      </c>
      <c r="J176" t="s">
        <v>34</v>
      </c>
      <c r="K176" t="s">
        <v>42</v>
      </c>
    </row>
    <row r="177" spans="1:11" x14ac:dyDescent="0.25">
      <c r="A177" t="s">
        <v>266</v>
      </c>
      <c r="B177" t="s">
        <v>96</v>
      </c>
      <c r="C177" t="s">
        <v>115</v>
      </c>
      <c r="D177" t="s">
        <v>21</v>
      </c>
      <c r="E177">
        <v>2025</v>
      </c>
      <c r="F177">
        <v>4</v>
      </c>
      <c r="G177" t="s">
        <v>15</v>
      </c>
      <c r="H177">
        <v>7.2</v>
      </c>
      <c r="I177">
        <v>48.9</v>
      </c>
      <c r="J177" t="s">
        <v>29</v>
      </c>
      <c r="K177" t="s">
        <v>60</v>
      </c>
    </row>
    <row r="178" spans="1:11" x14ac:dyDescent="0.25">
      <c r="A178" t="s">
        <v>267</v>
      </c>
      <c r="B178" t="s">
        <v>88</v>
      </c>
      <c r="C178" t="s">
        <v>45</v>
      </c>
      <c r="D178" t="s">
        <v>76</v>
      </c>
      <c r="E178">
        <v>2017</v>
      </c>
      <c r="F178">
        <v>6</v>
      </c>
      <c r="G178" t="s">
        <v>28</v>
      </c>
      <c r="H178">
        <v>9.1</v>
      </c>
      <c r="I178">
        <v>50</v>
      </c>
      <c r="J178" t="s">
        <v>34</v>
      </c>
      <c r="K178" t="s">
        <v>42</v>
      </c>
    </row>
    <row r="179" spans="1:11" x14ac:dyDescent="0.25">
      <c r="A179" t="s">
        <v>268</v>
      </c>
      <c r="B179" t="s">
        <v>93</v>
      </c>
      <c r="C179" t="s">
        <v>33</v>
      </c>
      <c r="D179" t="s">
        <v>21</v>
      </c>
      <c r="E179">
        <v>2016</v>
      </c>
      <c r="F179">
        <v>4</v>
      </c>
      <c r="G179" t="s">
        <v>15</v>
      </c>
      <c r="H179">
        <v>9.3000000000000007</v>
      </c>
      <c r="I179">
        <v>49.3</v>
      </c>
      <c r="J179" t="s">
        <v>65</v>
      </c>
      <c r="K179" t="s">
        <v>35</v>
      </c>
    </row>
    <row r="180" spans="1:11" x14ac:dyDescent="0.25">
      <c r="A180" t="s">
        <v>269</v>
      </c>
      <c r="B180" t="s">
        <v>161</v>
      </c>
      <c r="C180" t="s">
        <v>40</v>
      </c>
      <c r="D180" t="s">
        <v>99</v>
      </c>
      <c r="E180">
        <v>2017</v>
      </c>
      <c r="F180">
        <v>5</v>
      </c>
      <c r="G180" t="s">
        <v>15</v>
      </c>
      <c r="H180">
        <v>9.4</v>
      </c>
      <c r="I180">
        <v>12.6</v>
      </c>
      <c r="J180" t="s">
        <v>82</v>
      </c>
      <c r="K180" t="s">
        <v>35</v>
      </c>
    </row>
    <row r="181" spans="1:11" x14ac:dyDescent="0.25">
      <c r="A181" t="s">
        <v>270</v>
      </c>
      <c r="B181" t="s">
        <v>51</v>
      </c>
      <c r="C181" t="s">
        <v>58</v>
      </c>
      <c r="D181" t="s">
        <v>14</v>
      </c>
      <c r="E181">
        <v>2023</v>
      </c>
      <c r="F181">
        <v>6</v>
      </c>
      <c r="G181" t="s">
        <v>28</v>
      </c>
      <c r="H181">
        <v>6.8</v>
      </c>
      <c r="I181">
        <v>8.6</v>
      </c>
      <c r="J181" t="s">
        <v>72</v>
      </c>
      <c r="K181" t="s">
        <v>42</v>
      </c>
    </row>
    <row r="182" spans="1:11" x14ac:dyDescent="0.25">
      <c r="A182" t="s">
        <v>271</v>
      </c>
      <c r="B182" t="s">
        <v>57</v>
      </c>
      <c r="C182" t="s">
        <v>115</v>
      </c>
      <c r="D182" t="s">
        <v>27</v>
      </c>
      <c r="E182">
        <v>2020</v>
      </c>
      <c r="F182">
        <v>6</v>
      </c>
      <c r="G182" t="s">
        <v>28</v>
      </c>
      <c r="H182">
        <v>8.1</v>
      </c>
      <c r="I182">
        <v>42</v>
      </c>
      <c r="J182" t="s">
        <v>55</v>
      </c>
      <c r="K182" t="s">
        <v>17</v>
      </c>
    </row>
    <row r="183" spans="1:11" x14ac:dyDescent="0.25">
      <c r="A183" t="s">
        <v>272</v>
      </c>
      <c r="B183" t="s">
        <v>236</v>
      </c>
      <c r="C183" t="s">
        <v>33</v>
      </c>
      <c r="D183" t="s">
        <v>76</v>
      </c>
      <c r="E183">
        <v>2017</v>
      </c>
      <c r="F183">
        <v>2</v>
      </c>
      <c r="G183" t="s">
        <v>15</v>
      </c>
      <c r="H183">
        <v>6.5</v>
      </c>
      <c r="I183">
        <v>9.4</v>
      </c>
      <c r="J183" t="s">
        <v>65</v>
      </c>
      <c r="K183" t="s">
        <v>60</v>
      </c>
    </row>
    <row r="184" spans="1:11" x14ac:dyDescent="0.25">
      <c r="A184" t="s">
        <v>273</v>
      </c>
      <c r="B184" t="s">
        <v>51</v>
      </c>
      <c r="C184" t="s">
        <v>58</v>
      </c>
      <c r="D184" t="s">
        <v>27</v>
      </c>
      <c r="E184">
        <v>2018</v>
      </c>
      <c r="F184">
        <v>7</v>
      </c>
      <c r="G184" t="s">
        <v>28</v>
      </c>
      <c r="H184">
        <v>6.8</v>
      </c>
      <c r="I184">
        <v>19.600000000000001</v>
      </c>
      <c r="J184" t="s">
        <v>65</v>
      </c>
      <c r="K184" t="s">
        <v>60</v>
      </c>
    </row>
    <row r="185" spans="1:11" x14ac:dyDescent="0.25">
      <c r="A185" t="s">
        <v>274</v>
      </c>
      <c r="B185" t="s">
        <v>226</v>
      </c>
      <c r="C185" t="s">
        <v>26</v>
      </c>
      <c r="D185" t="s">
        <v>76</v>
      </c>
      <c r="E185">
        <v>2018</v>
      </c>
      <c r="F185">
        <v>5</v>
      </c>
      <c r="G185" t="s">
        <v>28</v>
      </c>
      <c r="H185">
        <v>8</v>
      </c>
      <c r="I185">
        <v>18.5</v>
      </c>
      <c r="J185" t="s">
        <v>29</v>
      </c>
      <c r="K185" t="s">
        <v>17</v>
      </c>
    </row>
    <row r="186" spans="1:11" x14ac:dyDescent="0.25">
      <c r="A186" t="s">
        <v>275</v>
      </c>
      <c r="B186" t="s">
        <v>262</v>
      </c>
      <c r="C186" t="s">
        <v>20</v>
      </c>
      <c r="D186" t="s">
        <v>99</v>
      </c>
      <c r="E186">
        <v>2023</v>
      </c>
      <c r="F186">
        <v>7</v>
      </c>
      <c r="G186" t="s">
        <v>28</v>
      </c>
      <c r="H186">
        <v>6.9</v>
      </c>
      <c r="I186">
        <v>16.5</v>
      </c>
      <c r="J186" t="s">
        <v>46</v>
      </c>
      <c r="K186" t="s">
        <v>30</v>
      </c>
    </row>
    <row r="187" spans="1:11" x14ac:dyDescent="0.25">
      <c r="A187" t="s">
        <v>276</v>
      </c>
      <c r="B187" t="s">
        <v>157</v>
      </c>
      <c r="C187" t="s">
        <v>45</v>
      </c>
      <c r="D187" t="s">
        <v>52</v>
      </c>
      <c r="E187">
        <v>2022</v>
      </c>
      <c r="F187">
        <v>4</v>
      </c>
      <c r="G187" t="s">
        <v>28</v>
      </c>
      <c r="H187">
        <v>9.4</v>
      </c>
      <c r="I187">
        <v>24.6</v>
      </c>
      <c r="J187" t="s">
        <v>16</v>
      </c>
      <c r="K187" t="s">
        <v>60</v>
      </c>
    </row>
    <row r="188" spans="1:11" x14ac:dyDescent="0.25">
      <c r="A188" t="s">
        <v>277</v>
      </c>
      <c r="B188" t="s">
        <v>104</v>
      </c>
      <c r="C188" t="s">
        <v>74</v>
      </c>
      <c r="D188" t="s">
        <v>21</v>
      </c>
      <c r="E188">
        <v>2022</v>
      </c>
      <c r="F188">
        <v>2</v>
      </c>
      <c r="G188" t="s">
        <v>28</v>
      </c>
      <c r="H188">
        <v>7</v>
      </c>
      <c r="I188">
        <v>54.3</v>
      </c>
      <c r="J188" t="s">
        <v>82</v>
      </c>
      <c r="K188" t="s">
        <v>17</v>
      </c>
    </row>
    <row r="189" spans="1:11" x14ac:dyDescent="0.25">
      <c r="A189" t="s">
        <v>278</v>
      </c>
      <c r="B189" t="s">
        <v>84</v>
      </c>
      <c r="C189" t="s">
        <v>33</v>
      </c>
      <c r="D189" t="s">
        <v>14</v>
      </c>
      <c r="E189">
        <v>2025</v>
      </c>
      <c r="F189">
        <v>1</v>
      </c>
      <c r="G189" t="s">
        <v>28</v>
      </c>
      <c r="H189">
        <v>6.6</v>
      </c>
      <c r="I189">
        <v>52.9</v>
      </c>
      <c r="J189" t="s">
        <v>59</v>
      </c>
      <c r="K189" t="s">
        <v>35</v>
      </c>
    </row>
    <row r="190" spans="1:11" x14ac:dyDescent="0.25">
      <c r="A190" t="s">
        <v>279</v>
      </c>
      <c r="B190" t="s">
        <v>84</v>
      </c>
      <c r="C190" t="s">
        <v>33</v>
      </c>
      <c r="D190" t="s">
        <v>99</v>
      </c>
      <c r="E190">
        <v>2020</v>
      </c>
      <c r="F190">
        <v>8</v>
      </c>
      <c r="G190" t="s">
        <v>71</v>
      </c>
      <c r="H190">
        <v>7.1</v>
      </c>
      <c r="I190">
        <v>11.9</v>
      </c>
      <c r="J190" t="s">
        <v>55</v>
      </c>
      <c r="K190" t="s">
        <v>68</v>
      </c>
    </row>
    <row r="191" spans="1:11" x14ac:dyDescent="0.25">
      <c r="A191" t="s">
        <v>280</v>
      </c>
      <c r="B191" t="s">
        <v>171</v>
      </c>
      <c r="C191" t="s">
        <v>74</v>
      </c>
      <c r="D191" t="s">
        <v>27</v>
      </c>
      <c r="E191">
        <v>2019</v>
      </c>
      <c r="F191">
        <v>7</v>
      </c>
      <c r="G191" t="s">
        <v>71</v>
      </c>
      <c r="H191">
        <v>9.4</v>
      </c>
      <c r="I191">
        <v>29.6</v>
      </c>
      <c r="J191" t="s">
        <v>55</v>
      </c>
      <c r="K191" t="s">
        <v>23</v>
      </c>
    </row>
    <row r="192" spans="1:11" x14ac:dyDescent="0.25">
      <c r="A192" t="s">
        <v>281</v>
      </c>
      <c r="B192" t="s">
        <v>171</v>
      </c>
      <c r="C192" t="s">
        <v>40</v>
      </c>
      <c r="D192" t="s">
        <v>99</v>
      </c>
      <c r="E192">
        <v>2016</v>
      </c>
      <c r="F192">
        <v>4</v>
      </c>
      <c r="G192" t="s">
        <v>28</v>
      </c>
      <c r="H192">
        <v>6.7</v>
      </c>
      <c r="I192">
        <v>18.8</v>
      </c>
      <c r="J192" t="s">
        <v>16</v>
      </c>
      <c r="K192" t="s">
        <v>68</v>
      </c>
    </row>
    <row r="193" spans="1:11" x14ac:dyDescent="0.25">
      <c r="A193" t="s">
        <v>282</v>
      </c>
      <c r="B193" t="s">
        <v>54</v>
      </c>
      <c r="C193" t="s">
        <v>20</v>
      </c>
      <c r="D193" t="s">
        <v>99</v>
      </c>
      <c r="E193">
        <v>2019</v>
      </c>
      <c r="F193">
        <v>2</v>
      </c>
      <c r="G193" t="s">
        <v>28</v>
      </c>
      <c r="H193">
        <v>6.6</v>
      </c>
      <c r="I193">
        <v>52.8</v>
      </c>
      <c r="J193" t="s">
        <v>82</v>
      </c>
      <c r="K193" t="s">
        <v>17</v>
      </c>
    </row>
    <row r="194" spans="1:11" x14ac:dyDescent="0.25">
      <c r="A194" t="s">
        <v>283</v>
      </c>
      <c r="B194" t="s">
        <v>70</v>
      </c>
      <c r="C194" t="s">
        <v>40</v>
      </c>
      <c r="D194" t="s">
        <v>76</v>
      </c>
      <c r="E194">
        <v>2015</v>
      </c>
      <c r="F194">
        <v>4</v>
      </c>
      <c r="G194" t="s">
        <v>15</v>
      </c>
      <c r="H194">
        <v>8.5</v>
      </c>
      <c r="I194">
        <v>52.7</v>
      </c>
      <c r="J194" t="s">
        <v>29</v>
      </c>
      <c r="K194" t="s">
        <v>60</v>
      </c>
    </row>
    <row r="195" spans="1:11" x14ac:dyDescent="0.25">
      <c r="A195" t="s">
        <v>284</v>
      </c>
      <c r="B195" t="s">
        <v>114</v>
      </c>
      <c r="C195" t="s">
        <v>40</v>
      </c>
      <c r="D195" t="s">
        <v>14</v>
      </c>
      <c r="E195">
        <v>2018</v>
      </c>
      <c r="F195">
        <v>3</v>
      </c>
      <c r="G195" t="s">
        <v>28</v>
      </c>
      <c r="H195">
        <v>6.5</v>
      </c>
      <c r="I195">
        <v>24.4</v>
      </c>
      <c r="J195" t="s">
        <v>16</v>
      </c>
      <c r="K195" t="s">
        <v>23</v>
      </c>
    </row>
    <row r="196" spans="1:11" x14ac:dyDescent="0.25">
      <c r="A196" t="s">
        <v>285</v>
      </c>
      <c r="B196" t="s">
        <v>44</v>
      </c>
      <c r="C196" t="s">
        <v>45</v>
      </c>
      <c r="D196" t="s">
        <v>52</v>
      </c>
      <c r="E196">
        <v>2022</v>
      </c>
      <c r="F196">
        <v>3</v>
      </c>
      <c r="G196" t="s">
        <v>28</v>
      </c>
      <c r="H196">
        <v>9.3000000000000007</v>
      </c>
      <c r="I196">
        <v>39</v>
      </c>
      <c r="J196" t="s">
        <v>72</v>
      </c>
      <c r="K196" t="s">
        <v>42</v>
      </c>
    </row>
    <row r="197" spans="1:11" x14ac:dyDescent="0.25">
      <c r="A197" t="s">
        <v>286</v>
      </c>
      <c r="B197" t="s">
        <v>108</v>
      </c>
      <c r="C197" t="s">
        <v>49</v>
      </c>
      <c r="D197" t="s">
        <v>14</v>
      </c>
      <c r="E197">
        <v>2019</v>
      </c>
      <c r="F197">
        <v>2</v>
      </c>
      <c r="G197" t="s">
        <v>28</v>
      </c>
      <c r="H197">
        <v>9.1</v>
      </c>
      <c r="I197">
        <v>19.100000000000001</v>
      </c>
      <c r="J197" t="s">
        <v>46</v>
      </c>
      <c r="K197" t="s">
        <v>60</v>
      </c>
    </row>
    <row r="198" spans="1:11" x14ac:dyDescent="0.25">
      <c r="A198" t="s">
        <v>287</v>
      </c>
      <c r="B198" t="s">
        <v>57</v>
      </c>
      <c r="C198" t="s">
        <v>45</v>
      </c>
      <c r="D198" t="s">
        <v>27</v>
      </c>
      <c r="E198">
        <v>2018</v>
      </c>
      <c r="F198">
        <v>6</v>
      </c>
      <c r="G198" t="s">
        <v>15</v>
      </c>
      <c r="H198">
        <v>8.1999999999999993</v>
      </c>
      <c r="I198">
        <v>40.4</v>
      </c>
      <c r="J198" t="s">
        <v>65</v>
      </c>
      <c r="K198" t="s">
        <v>68</v>
      </c>
    </row>
    <row r="199" spans="1:11" x14ac:dyDescent="0.25">
      <c r="A199" t="s">
        <v>288</v>
      </c>
      <c r="B199" t="s">
        <v>121</v>
      </c>
      <c r="C199" t="s">
        <v>115</v>
      </c>
      <c r="D199" t="s">
        <v>27</v>
      </c>
      <c r="E199">
        <v>2018</v>
      </c>
      <c r="F199">
        <v>3</v>
      </c>
      <c r="G199" t="s">
        <v>28</v>
      </c>
      <c r="H199">
        <v>8.8000000000000007</v>
      </c>
      <c r="I199">
        <v>58.7</v>
      </c>
      <c r="J199" t="s">
        <v>41</v>
      </c>
      <c r="K199" t="s">
        <v>23</v>
      </c>
    </row>
    <row r="200" spans="1:11" x14ac:dyDescent="0.25">
      <c r="A200" t="s">
        <v>289</v>
      </c>
      <c r="B200" t="s">
        <v>54</v>
      </c>
      <c r="C200" t="s">
        <v>58</v>
      </c>
      <c r="D200" t="s">
        <v>52</v>
      </c>
      <c r="E200">
        <v>2024</v>
      </c>
      <c r="F200">
        <v>1</v>
      </c>
      <c r="G200" t="s">
        <v>71</v>
      </c>
      <c r="H200">
        <v>7.5</v>
      </c>
      <c r="I200">
        <v>50.2</v>
      </c>
      <c r="J200" t="s">
        <v>59</v>
      </c>
      <c r="K200" t="s">
        <v>42</v>
      </c>
    </row>
    <row r="201" spans="1:11" x14ac:dyDescent="0.25">
      <c r="A201" t="s">
        <v>290</v>
      </c>
      <c r="B201" t="s">
        <v>39</v>
      </c>
      <c r="C201" t="s">
        <v>74</v>
      </c>
      <c r="D201" t="s">
        <v>52</v>
      </c>
      <c r="E201">
        <v>2024</v>
      </c>
      <c r="F201">
        <v>4</v>
      </c>
      <c r="G201" t="s">
        <v>15</v>
      </c>
      <c r="H201">
        <v>9.3000000000000007</v>
      </c>
      <c r="I201">
        <v>25.7</v>
      </c>
      <c r="J201" t="s">
        <v>29</v>
      </c>
      <c r="K201" t="s">
        <v>60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3B56-7F7F-4746-8DED-ABE569700019}">
  <dimension ref="A1:B8"/>
  <sheetViews>
    <sheetView workbookViewId="0">
      <selection activeCell="C1" sqref="C1"/>
    </sheetView>
  </sheetViews>
  <sheetFormatPr defaultRowHeight="15" x14ac:dyDescent="0.25"/>
  <sheetData>
    <row r="1" spans="1:2" x14ac:dyDescent="0.25">
      <c r="A1" t="s">
        <v>291</v>
      </c>
      <c r="B1">
        <f>COUNTA(Netflix_Data!B2:B201)</f>
        <v>200</v>
      </c>
    </row>
    <row r="2" spans="1:2" x14ac:dyDescent="0.25">
      <c r="A2" t="s">
        <v>292</v>
      </c>
      <c r="B2">
        <f>ROUND(AVERAGE(Netflix_Data!H:H),1)</f>
        <v>8.1999999999999993</v>
      </c>
    </row>
    <row r="3" spans="1:2" x14ac:dyDescent="0.25">
      <c r="A3" t="s">
        <v>293</v>
      </c>
      <c r="B3">
        <f>SUM(Netflix_Data!I:I)</f>
        <v>6874.800000000002</v>
      </c>
    </row>
    <row r="4" spans="1:2" x14ac:dyDescent="0.25">
      <c r="A4" t="s">
        <v>294</v>
      </c>
      <c r="B4">
        <f>MAX(Netflix_Data!H:H)</f>
        <v>9.8000000000000007</v>
      </c>
    </row>
    <row r="5" spans="1:2" x14ac:dyDescent="0.25">
      <c r="A5" t="s">
        <v>295</v>
      </c>
      <c r="B5">
        <f>MIN(Netflix_Data!H:H)</f>
        <v>6.5</v>
      </c>
    </row>
    <row r="6" spans="1:2" x14ac:dyDescent="0.25">
      <c r="A6" t="s">
        <v>296</v>
      </c>
      <c r="B6">
        <f>COUNTIF(Netflix_Data!G:G,"Watching")</f>
        <v>53</v>
      </c>
    </row>
    <row r="7" spans="1:2" x14ac:dyDescent="0.25">
      <c r="A7" t="s">
        <v>297</v>
      </c>
      <c r="B7">
        <f>COUNTIF(Netflix_Data!G:G,"Completed")</f>
        <v>122</v>
      </c>
    </row>
    <row r="8" spans="1:2" x14ac:dyDescent="0.25">
      <c r="A8" t="s">
        <v>298</v>
      </c>
      <c r="B8">
        <f>COUNTIF(Netflix_Data!G:G,"Plan to Watch")</f>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A9AB-D95B-4458-A1A1-825E28F993AC}">
  <sheetPr>
    <tabColor theme="1" tint="4.9989318521683403E-2"/>
    <pageSetUpPr autoPageBreaks="0"/>
  </sheetPr>
  <dimension ref="B2:AD57"/>
  <sheetViews>
    <sheetView showGridLines="0" tabSelected="1" topLeftCell="A25" zoomScale="95" zoomScaleNormal="74" workbookViewId="0">
      <selection activeCell="N68" sqref="N68"/>
    </sheetView>
  </sheetViews>
  <sheetFormatPr defaultRowHeight="15" x14ac:dyDescent="0.25"/>
  <cols>
    <col min="1" max="16384" width="9.140625" style="4"/>
  </cols>
  <sheetData>
    <row r="2" spans="2:30" ht="27" x14ac:dyDescent="0.35">
      <c r="B2" s="5" t="s">
        <v>299</v>
      </c>
      <c r="C2" s="6"/>
      <c r="D2" s="6"/>
      <c r="E2" s="6"/>
      <c r="F2" s="6"/>
      <c r="G2" s="6"/>
      <c r="H2" s="6"/>
      <c r="I2" s="6"/>
      <c r="J2" s="6"/>
      <c r="K2" s="6"/>
      <c r="L2" s="6"/>
      <c r="M2" s="6"/>
      <c r="N2" s="6"/>
      <c r="O2" s="6"/>
      <c r="P2" s="6"/>
      <c r="Q2" s="6"/>
      <c r="R2" s="6"/>
      <c r="S2" s="6"/>
      <c r="T2" s="6"/>
      <c r="U2" s="6"/>
      <c r="V2" s="6"/>
      <c r="W2" s="6"/>
      <c r="X2" s="6"/>
      <c r="Y2" s="6"/>
      <c r="Z2" s="6"/>
      <c r="AA2" s="6"/>
      <c r="AB2" s="6"/>
      <c r="AC2" s="6"/>
    </row>
    <row r="6" spans="2:30" x14ac:dyDescent="0.25">
      <c r="AD6" s="4" t="s">
        <v>305</v>
      </c>
    </row>
    <row r="57" spans="11:11" x14ac:dyDescent="0.25">
      <c r="K57" s="4" t="s">
        <v>305</v>
      </c>
    </row>
  </sheetData>
  <mergeCells count="1">
    <mergeCell ref="B2:AC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Netflix_Data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Kanishka Sapra</cp:lastModifiedBy>
  <dcterms:created xsi:type="dcterms:W3CDTF">2026-08-04T11:20:07Z</dcterms:created>
  <dcterms:modified xsi:type="dcterms:W3CDTF">2026-08-07T05:30:57Z</dcterms:modified>
</cp:coreProperties>
</file>